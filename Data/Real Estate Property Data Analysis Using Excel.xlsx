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ayni Abuukar\Desktop\"/>
    </mc:Choice>
  </mc:AlternateContent>
  <xr:revisionPtr revIDLastSave="0" documentId="13_ncr:1_{4503D607-04F6-41F1-A5A0-8610D11AF287}" xr6:coauthVersionLast="36" xr6:coauthVersionMax="36" xr10:uidLastSave="{00000000-0000-0000-0000-000000000000}"/>
  <bookViews>
    <workbookView xWindow="0" yWindow="0" windowWidth="15200" windowHeight="6810" activeTab="1" xr2:uid="{81FC3395-7561-48DC-9C21-2AB2A5529BA7}"/>
  </bookViews>
  <sheets>
    <sheet name="Raw_Data" sheetId="1" r:id="rId1"/>
    <sheet name="Clean_Data" sheetId="2" r:id="rId2"/>
    <sheet name="Analysis" sheetId="3" r:id="rId3"/>
    <sheet name="PivotTables" sheetId="4" r:id="rId4"/>
    <sheet name="Dashbroad_1" sheetId="6" r:id="rId5"/>
    <sheet name="Dashbroad_2" sheetId="5" r:id="rId6"/>
    <sheet name="Findings" sheetId="7" r:id="rId7"/>
  </sheets>
  <definedNames>
    <definedName name="Slicer_Location1">#N/A</definedName>
    <definedName name="Slicer_Price_Category">#N/A</definedName>
    <definedName name="Slicer_Price_Category1">#N/A</definedName>
    <definedName name="Slicer_Property_Type">#N/A</definedName>
    <definedName name="Slicer_Year__Colomn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J6" i="6" l="1"/>
  <c r="H6" i="6"/>
  <c r="F6" i="6"/>
  <c r="D6" i="6"/>
  <c r="K6" i="5"/>
  <c r="H6" i="5"/>
  <c r="F6" i="5"/>
  <c r="D6" i="5"/>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C23" i="3" l="1"/>
  <c r="C24" i="3"/>
  <c r="C22" i="3"/>
  <c r="C21" i="3"/>
  <c r="G15" i="3"/>
  <c r="G14" i="3"/>
  <c r="G19" i="3"/>
  <c r="G18" i="3"/>
  <c r="G17" i="3"/>
  <c r="G16" i="3"/>
  <c r="G13" i="3"/>
  <c r="F5" i="3"/>
  <c r="C20" i="3"/>
  <c r="C19" i="3"/>
  <c r="C18" i="3"/>
  <c r="C17" i="3"/>
  <c r="C16" i="3"/>
  <c r="C15" i="3"/>
  <c r="C14" i="3"/>
  <c r="C13" i="3"/>
  <c r="M293" i="2"/>
  <c r="L293" i="2"/>
  <c r="K293" i="2"/>
  <c r="J293" i="2"/>
  <c r="H293" i="2"/>
  <c r="M292" i="2"/>
  <c r="L292" i="2"/>
  <c r="K292" i="2"/>
  <c r="J292" i="2"/>
  <c r="H292" i="2"/>
  <c r="M291" i="2"/>
  <c r="L291" i="2"/>
  <c r="K291" i="2"/>
  <c r="J291" i="2"/>
  <c r="H291" i="2"/>
  <c r="M290" i="2"/>
  <c r="L290" i="2"/>
  <c r="K290" i="2"/>
  <c r="J290" i="2"/>
  <c r="H290" i="2"/>
  <c r="M289" i="2"/>
  <c r="L289" i="2"/>
  <c r="K289" i="2"/>
  <c r="J289" i="2"/>
  <c r="H289" i="2"/>
  <c r="M288" i="2"/>
  <c r="L288" i="2"/>
  <c r="K288" i="2"/>
  <c r="J288" i="2"/>
  <c r="H288" i="2"/>
  <c r="M287" i="2"/>
  <c r="L287" i="2"/>
  <c r="K287" i="2"/>
  <c r="J287" i="2"/>
  <c r="H287" i="2"/>
  <c r="M286" i="2"/>
  <c r="L286" i="2"/>
  <c r="K286" i="2"/>
  <c r="J286" i="2"/>
  <c r="H286" i="2"/>
  <c r="M285" i="2"/>
  <c r="L285" i="2"/>
  <c r="K285" i="2"/>
  <c r="J285" i="2"/>
  <c r="H285" i="2"/>
  <c r="M284" i="2"/>
  <c r="L284" i="2"/>
  <c r="K284" i="2"/>
  <c r="J284" i="2"/>
  <c r="H284" i="2"/>
  <c r="M283" i="2"/>
  <c r="L283" i="2"/>
  <c r="K283" i="2"/>
  <c r="J283" i="2"/>
  <c r="H283" i="2"/>
  <c r="M282" i="2"/>
  <c r="L282" i="2"/>
  <c r="K282" i="2"/>
  <c r="J282" i="2"/>
  <c r="H282" i="2"/>
  <c r="M281" i="2"/>
  <c r="L281" i="2"/>
  <c r="K281" i="2"/>
  <c r="J281" i="2"/>
  <c r="H281" i="2"/>
  <c r="M280" i="2"/>
  <c r="L280" i="2"/>
  <c r="K280" i="2"/>
  <c r="J280" i="2"/>
  <c r="H280" i="2"/>
  <c r="M279" i="2"/>
  <c r="L279" i="2"/>
  <c r="K279" i="2"/>
  <c r="J279" i="2"/>
  <c r="H279" i="2"/>
  <c r="M278" i="2"/>
  <c r="L278" i="2"/>
  <c r="K278" i="2"/>
  <c r="J278" i="2"/>
  <c r="H278" i="2"/>
  <c r="M277" i="2"/>
  <c r="L277" i="2"/>
  <c r="K277" i="2"/>
  <c r="J277" i="2"/>
  <c r="H277" i="2"/>
  <c r="M276" i="2"/>
  <c r="L276" i="2"/>
  <c r="K276" i="2"/>
  <c r="J276" i="2"/>
  <c r="H276" i="2"/>
  <c r="M275" i="2"/>
  <c r="L275" i="2"/>
  <c r="K275" i="2"/>
  <c r="J275" i="2"/>
  <c r="H275" i="2"/>
  <c r="M274" i="2"/>
  <c r="L274" i="2"/>
  <c r="K274" i="2"/>
  <c r="J274" i="2"/>
  <c r="H274" i="2"/>
  <c r="M273" i="2"/>
  <c r="L273" i="2"/>
  <c r="K273" i="2"/>
  <c r="J273" i="2"/>
  <c r="H273" i="2"/>
  <c r="M272" i="2"/>
  <c r="L272" i="2"/>
  <c r="K272" i="2"/>
  <c r="J272" i="2"/>
  <c r="H272" i="2"/>
  <c r="M271" i="2"/>
  <c r="L271" i="2"/>
  <c r="K271" i="2"/>
  <c r="J271" i="2"/>
  <c r="H271" i="2"/>
  <c r="M270" i="2"/>
  <c r="L270" i="2"/>
  <c r="K270" i="2"/>
  <c r="J270" i="2"/>
  <c r="H270" i="2"/>
  <c r="M269" i="2"/>
  <c r="L269" i="2"/>
  <c r="K269" i="2"/>
  <c r="J269" i="2"/>
  <c r="H269" i="2"/>
  <c r="M268" i="2"/>
  <c r="L268" i="2"/>
  <c r="K268" i="2"/>
  <c r="J268" i="2"/>
  <c r="H268" i="2"/>
  <c r="M267" i="2"/>
  <c r="L267" i="2"/>
  <c r="K267" i="2"/>
  <c r="J267" i="2"/>
  <c r="H267" i="2"/>
  <c r="M266" i="2"/>
  <c r="L266" i="2"/>
  <c r="K266" i="2"/>
  <c r="J266" i="2"/>
  <c r="H266" i="2"/>
  <c r="M265" i="2"/>
  <c r="L265" i="2"/>
  <c r="K265" i="2"/>
  <c r="J265" i="2"/>
  <c r="H265" i="2"/>
  <c r="M264" i="2"/>
  <c r="L264" i="2"/>
  <c r="K264" i="2"/>
  <c r="J264" i="2"/>
  <c r="H264" i="2"/>
  <c r="M263" i="2"/>
  <c r="L263" i="2"/>
  <c r="K263" i="2"/>
  <c r="J263" i="2"/>
  <c r="H263" i="2"/>
  <c r="M262" i="2"/>
  <c r="L262" i="2"/>
  <c r="K262" i="2"/>
  <c r="J262" i="2"/>
  <c r="H262" i="2"/>
  <c r="M261" i="2"/>
  <c r="L261" i="2"/>
  <c r="K261" i="2"/>
  <c r="J261" i="2"/>
  <c r="H261" i="2"/>
  <c r="M260" i="2"/>
  <c r="L260" i="2"/>
  <c r="K260" i="2"/>
  <c r="J260" i="2"/>
  <c r="H260" i="2"/>
  <c r="M259" i="2"/>
  <c r="L259" i="2"/>
  <c r="K259" i="2"/>
  <c r="J259" i="2"/>
  <c r="H259" i="2"/>
  <c r="M258" i="2"/>
  <c r="L258" i="2"/>
  <c r="K258" i="2"/>
  <c r="J258" i="2"/>
  <c r="H258" i="2"/>
  <c r="M257" i="2"/>
  <c r="L257" i="2"/>
  <c r="K257" i="2"/>
  <c r="J257" i="2"/>
  <c r="H257" i="2"/>
  <c r="M256" i="2"/>
  <c r="L256" i="2"/>
  <c r="K256" i="2"/>
  <c r="J256" i="2"/>
  <c r="H256" i="2"/>
  <c r="M255" i="2"/>
  <c r="L255" i="2"/>
  <c r="K255" i="2"/>
  <c r="J255" i="2"/>
  <c r="H255" i="2"/>
  <c r="M254" i="2"/>
  <c r="L254" i="2"/>
  <c r="K254" i="2"/>
  <c r="J254" i="2"/>
  <c r="H254" i="2"/>
  <c r="M253" i="2"/>
  <c r="L253" i="2"/>
  <c r="K253" i="2"/>
  <c r="J253" i="2"/>
  <c r="H253" i="2"/>
  <c r="M252" i="2"/>
  <c r="L252" i="2"/>
  <c r="K252" i="2"/>
  <c r="J252" i="2"/>
  <c r="H252" i="2"/>
  <c r="M251" i="2"/>
  <c r="L251" i="2"/>
  <c r="K251" i="2"/>
  <c r="J251" i="2"/>
  <c r="H251" i="2"/>
  <c r="M250" i="2"/>
  <c r="L250" i="2"/>
  <c r="K250" i="2"/>
  <c r="J250" i="2"/>
  <c r="H250" i="2"/>
  <c r="M249" i="2"/>
  <c r="L249" i="2"/>
  <c r="K249" i="2"/>
  <c r="J249" i="2"/>
  <c r="H249" i="2"/>
  <c r="M248" i="2"/>
  <c r="L248" i="2"/>
  <c r="K248" i="2"/>
  <c r="J248" i="2"/>
  <c r="H248" i="2"/>
  <c r="M247" i="2"/>
  <c r="L247" i="2"/>
  <c r="K247" i="2"/>
  <c r="J247" i="2"/>
  <c r="H247" i="2"/>
  <c r="M246" i="2"/>
  <c r="L246" i="2"/>
  <c r="K246" i="2"/>
  <c r="J246" i="2"/>
  <c r="H246" i="2"/>
  <c r="M245" i="2"/>
  <c r="L245" i="2"/>
  <c r="K245" i="2"/>
  <c r="J245" i="2"/>
  <c r="H245" i="2"/>
  <c r="M244" i="2"/>
  <c r="L244" i="2"/>
  <c r="K244" i="2"/>
  <c r="J244" i="2"/>
  <c r="H244" i="2"/>
  <c r="M243" i="2"/>
  <c r="L243" i="2"/>
  <c r="K243" i="2"/>
  <c r="J243" i="2"/>
  <c r="H243" i="2"/>
  <c r="M242" i="2"/>
  <c r="L242" i="2"/>
  <c r="K242" i="2"/>
  <c r="J242" i="2"/>
  <c r="H242" i="2"/>
  <c r="M241" i="2"/>
  <c r="L241" i="2"/>
  <c r="K241" i="2"/>
  <c r="J241" i="2"/>
  <c r="H241" i="2"/>
  <c r="M240" i="2"/>
  <c r="L240" i="2"/>
  <c r="K240" i="2"/>
  <c r="J240" i="2"/>
  <c r="H240" i="2"/>
  <c r="M239" i="2"/>
  <c r="L239" i="2"/>
  <c r="K239" i="2"/>
  <c r="J239" i="2"/>
  <c r="H239" i="2"/>
  <c r="M238" i="2"/>
  <c r="L238" i="2"/>
  <c r="K238" i="2"/>
  <c r="J238" i="2"/>
  <c r="H238" i="2"/>
  <c r="M237" i="2"/>
  <c r="L237" i="2"/>
  <c r="K237" i="2"/>
  <c r="J237" i="2"/>
  <c r="H237" i="2"/>
  <c r="M236" i="2"/>
  <c r="L236" i="2"/>
  <c r="K236" i="2"/>
  <c r="J236" i="2"/>
  <c r="H236" i="2"/>
  <c r="M235" i="2"/>
  <c r="L235" i="2"/>
  <c r="K235" i="2"/>
  <c r="J235" i="2"/>
  <c r="H235" i="2"/>
  <c r="M234" i="2"/>
  <c r="L234" i="2"/>
  <c r="K234" i="2"/>
  <c r="J234" i="2"/>
  <c r="H234" i="2"/>
  <c r="M233" i="2"/>
  <c r="L233" i="2"/>
  <c r="K233" i="2"/>
  <c r="J233" i="2"/>
  <c r="H233" i="2"/>
  <c r="M232" i="2"/>
  <c r="L232" i="2"/>
  <c r="K232" i="2"/>
  <c r="J232" i="2"/>
  <c r="H232" i="2"/>
  <c r="M231" i="2"/>
  <c r="L231" i="2"/>
  <c r="K231" i="2"/>
  <c r="J231" i="2"/>
  <c r="H231" i="2"/>
  <c r="M230" i="2"/>
  <c r="L230" i="2"/>
  <c r="K230" i="2"/>
  <c r="J230" i="2"/>
  <c r="H230" i="2"/>
  <c r="M229" i="2"/>
  <c r="L229" i="2"/>
  <c r="K229" i="2"/>
  <c r="J229" i="2"/>
  <c r="H229" i="2"/>
  <c r="M228" i="2"/>
  <c r="L228" i="2"/>
  <c r="K228" i="2"/>
  <c r="J228" i="2"/>
  <c r="H228" i="2"/>
  <c r="M227" i="2"/>
  <c r="L227" i="2"/>
  <c r="K227" i="2"/>
  <c r="J227" i="2"/>
  <c r="H227" i="2"/>
  <c r="M226" i="2"/>
  <c r="L226" i="2"/>
  <c r="K226" i="2"/>
  <c r="J226" i="2"/>
  <c r="H226" i="2"/>
  <c r="M225" i="2"/>
  <c r="L225" i="2"/>
  <c r="K225" i="2"/>
  <c r="J225" i="2"/>
  <c r="H225" i="2"/>
  <c r="M224" i="2"/>
  <c r="L224" i="2"/>
  <c r="K224" i="2"/>
  <c r="J224" i="2"/>
  <c r="H224" i="2"/>
  <c r="M223" i="2"/>
  <c r="L223" i="2"/>
  <c r="K223" i="2"/>
  <c r="J223" i="2"/>
  <c r="H223" i="2"/>
  <c r="M222" i="2"/>
  <c r="L222" i="2"/>
  <c r="K222" i="2"/>
  <c r="J222" i="2"/>
  <c r="H222" i="2"/>
  <c r="M221" i="2"/>
  <c r="L221" i="2"/>
  <c r="K221" i="2"/>
  <c r="J221" i="2"/>
  <c r="H221" i="2"/>
  <c r="M220" i="2"/>
  <c r="L220" i="2"/>
  <c r="K220" i="2"/>
  <c r="J220" i="2"/>
  <c r="H220" i="2"/>
  <c r="M219" i="2"/>
  <c r="L219" i="2"/>
  <c r="K219" i="2"/>
  <c r="J219" i="2"/>
  <c r="H219" i="2"/>
  <c r="M218" i="2"/>
  <c r="L218" i="2"/>
  <c r="K218" i="2"/>
  <c r="J218" i="2"/>
  <c r="H218" i="2"/>
  <c r="M217" i="2"/>
  <c r="L217" i="2"/>
  <c r="K217" i="2"/>
  <c r="J217" i="2"/>
  <c r="H217" i="2"/>
  <c r="M216" i="2"/>
  <c r="L216" i="2"/>
  <c r="K216" i="2"/>
  <c r="J216" i="2"/>
  <c r="H216" i="2"/>
  <c r="M215" i="2"/>
  <c r="L215" i="2"/>
  <c r="K215" i="2"/>
  <c r="J215" i="2"/>
  <c r="H215" i="2"/>
  <c r="M214" i="2"/>
  <c r="L214" i="2"/>
  <c r="K214" i="2"/>
  <c r="J214" i="2"/>
  <c r="H214" i="2"/>
  <c r="M213" i="2"/>
  <c r="L213" i="2"/>
  <c r="K213" i="2"/>
  <c r="J213" i="2"/>
  <c r="H213" i="2"/>
  <c r="M212" i="2"/>
  <c r="L212" i="2"/>
  <c r="K212" i="2"/>
  <c r="J212" i="2"/>
  <c r="H212" i="2"/>
  <c r="M211" i="2"/>
  <c r="L211" i="2"/>
  <c r="K211" i="2"/>
  <c r="J211" i="2"/>
  <c r="H211" i="2"/>
  <c r="M210" i="2"/>
  <c r="L210" i="2"/>
  <c r="K210" i="2"/>
  <c r="J210" i="2"/>
  <c r="H210" i="2"/>
  <c r="M209" i="2"/>
  <c r="L209" i="2"/>
  <c r="K209" i="2"/>
  <c r="J209" i="2"/>
  <c r="H209" i="2"/>
  <c r="M208" i="2"/>
  <c r="L208" i="2"/>
  <c r="K208" i="2"/>
  <c r="J208" i="2"/>
  <c r="H208" i="2"/>
  <c r="M207" i="2"/>
  <c r="L207" i="2"/>
  <c r="K207" i="2"/>
  <c r="J207" i="2"/>
  <c r="H207" i="2"/>
  <c r="M206" i="2"/>
  <c r="L206" i="2"/>
  <c r="K206" i="2"/>
  <c r="J206" i="2"/>
  <c r="H206" i="2"/>
  <c r="M205" i="2"/>
  <c r="L205" i="2"/>
  <c r="K205" i="2"/>
  <c r="J205" i="2"/>
  <c r="H205" i="2"/>
  <c r="M204" i="2"/>
  <c r="L204" i="2"/>
  <c r="K204" i="2"/>
  <c r="J204" i="2"/>
  <c r="H204" i="2"/>
  <c r="M203" i="2"/>
  <c r="L203" i="2"/>
  <c r="K203" i="2"/>
  <c r="J203" i="2"/>
  <c r="H203" i="2"/>
  <c r="M202" i="2"/>
  <c r="L202" i="2"/>
  <c r="K202" i="2"/>
  <c r="J202" i="2"/>
  <c r="H202" i="2"/>
  <c r="M201" i="2"/>
  <c r="L201" i="2"/>
  <c r="K201" i="2"/>
  <c r="J201" i="2"/>
  <c r="H201" i="2"/>
  <c r="M200" i="2"/>
  <c r="L200" i="2"/>
  <c r="K200" i="2"/>
  <c r="J200" i="2"/>
  <c r="H200" i="2"/>
  <c r="M199" i="2"/>
  <c r="L199" i="2"/>
  <c r="K199" i="2"/>
  <c r="J199" i="2"/>
  <c r="H199" i="2"/>
  <c r="M198" i="2"/>
  <c r="L198" i="2"/>
  <c r="K198" i="2"/>
  <c r="J198" i="2"/>
  <c r="H198" i="2"/>
  <c r="M197" i="2"/>
  <c r="L197" i="2"/>
  <c r="K197" i="2"/>
  <c r="J197" i="2"/>
  <c r="H197" i="2"/>
  <c r="M196" i="2"/>
  <c r="L196" i="2"/>
  <c r="K196" i="2"/>
  <c r="J196" i="2"/>
  <c r="H196" i="2"/>
  <c r="M195" i="2"/>
  <c r="L195" i="2"/>
  <c r="K195" i="2"/>
  <c r="J195" i="2"/>
  <c r="H195" i="2"/>
  <c r="M194" i="2"/>
  <c r="L194" i="2"/>
  <c r="K194" i="2"/>
  <c r="J194" i="2"/>
  <c r="H194" i="2"/>
  <c r="M193" i="2"/>
  <c r="L193" i="2"/>
  <c r="K193" i="2"/>
  <c r="J193" i="2"/>
  <c r="H193" i="2"/>
  <c r="M192" i="2"/>
  <c r="L192" i="2"/>
  <c r="K192" i="2"/>
  <c r="J192" i="2"/>
  <c r="H192" i="2"/>
  <c r="M191" i="2"/>
  <c r="L191" i="2"/>
  <c r="K191" i="2"/>
  <c r="J191" i="2"/>
  <c r="H191" i="2"/>
  <c r="M190" i="2"/>
  <c r="L190" i="2"/>
  <c r="K190" i="2"/>
  <c r="J190" i="2"/>
  <c r="H190" i="2"/>
  <c r="M189" i="2"/>
  <c r="L189" i="2"/>
  <c r="K189" i="2"/>
  <c r="J189" i="2"/>
  <c r="H189" i="2"/>
  <c r="M188" i="2"/>
  <c r="L188" i="2"/>
  <c r="K188" i="2"/>
  <c r="J188" i="2"/>
  <c r="H188" i="2"/>
  <c r="M187" i="2"/>
  <c r="L187" i="2"/>
  <c r="K187" i="2"/>
  <c r="J187" i="2"/>
  <c r="H187" i="2"/>
  <c r="M186" i="2"/>
  <c r="L186" i="2"/>
  <c r="K186" i="2"/>
  <c r="J186" i="2"/>
  <c r="H186" i="2"/>
  <c r="M185" i="2"/>
  <c r="L185" i="2"/>
  <c r="K185" i="2"/>
  <c r="J185" i="2"/>
  <c r="H185" i="2"/>
  <c r="M184" i="2"/>
  <c r="L184" i="2"/>
  <c r="K184" i="2"/>
  <c r="J184" i="2"/>
  <c r="H184" i="2"/>
  <c r="M183" i="2"/>
  <c r="L183" i="2"/>
  <c r="K183" i="2"/>
  <c r="J183" i="2"/>
  <c r="H183" i="2"/>
  <c r="M182" i="2"/>
  <c r="L182" i="2"/>
  <c r="K182" i="2"/>
  <c r="J182" i="2"/>
  <c r="H182" i="2"/>
  <c r="M181" i="2"/>
  <c r="L181" i="2"/>
  <c r="K181" i="2"/>
  <c r="J181" i="2"/>
  <c r="H181" i="2"/>
  <c r="M180" i="2"/>
  <c r="L180" i="2"/>
  <c r="K180" i="2"/>
  <c r="J180" i="2"/>
  <c r="H180" i="2"/>
  <c r="M179" i="2"/>
  <c r="L179" i="2"/>
  <c r="K179" i="2"/>
  <c r="J179" i="2"/>
  <c r="H179" i="2"/>
  <c r="M178" i="2"/>
  <c r="L178" i="2"/>
  <c r="K178" i="2"/>
  <c r="J178" i="2"/>
  <c r="H178" i="2"/>
  <c r="M177" i="2"/>
  <c r="L177" i="2"/>
  <c r="K177" i="2"/>
  <c r="J177" i="2"/>
  <c r="H177" i="2"/>
  <c r="M176" i="2"/>
  <c r="L176" i="2"/>
  <c r="K176" i="2"/>
  <c r="J176" i="2"/>
  <c r="H176" i="2"/>
  <c r="M175" i="2"/>
  <c r="L175" i="2"/>
  <c r="K175" i="2"/>
  <c r="J175" i="2"/>
  <c r="H175" i="2"/>
  <c r="M174" i="2"/>
  <c r="L174" i="2"/>
  <c r="K174" i="2"/>
  <c r="J174" i="2"/>
  <c r="H174" i="2"/>
  <c r="M173" i="2"/>
  <c r="L173" i="2"/>
  <c r="K173" i="2"/>
  <c r="J173" i="2"/>
  <c r="H173" i="2"/>
  <c r="M172" i="2"/>
  <c r="L172" i="2"/>
  <c r="K172" i="2"/>
  <c r="J172" i="2"/>
  <c r="H172" i="2"/>
  <c r="M171" i="2"/>
  <c r="L171" i="2"/>
  <c r="K171" i="2"/>
  <c r="J171" i="2"/>
  <c r="H171" i="2"/>
  <c r="M170" i="2"/>
  <c r="L170" i="2"/>
  <c r="K170" i="2"/>
  <c r="J170" i="2"/>
  <c r="H170" i="2"/>
  <c r="M169" i="2"/>
  <c r="L169" i="2"/>
  <c r="K169" i="2"/>
  <c r="J169" i="2"/>
  <c r="H169" i="2"/>
  <c r="M168" i="2"/>
  <c r="L168" i="2"/>
  <c r="K168" i="2"/>
  <c r="J168" i="2"/>
  <c r="H168" i="2"/>
  <c r="M167" i="2"/>
  <c r="L167" i="2"/>
  <c r="K167" i="2"/>
  <c r="J167" i="2"/>
  <c r="H167" i="2"/>
  <c r="M166" i="2"/>
  <c r="L166" i="2"/>
  <c r="K166" i="2"/>
  <c r="J166" i="2"/>
  <c r="H166" i="2"/>
  <c r="M165" i="2"/>
  <c r="L165" i="2"/>
  <c r="K165" i="2"/>
  <c r="J165" i="2"/>
  <c r="H165" i="2"/>
  <c r="M164" i="2"/>
  <c r="L164" i="2"/>
  <c r="K164" i="2"/>
  <c r="J164" i="2"/>
  <c r="H164" i="2"/>
  <c r="M163" i="2"/>
  <c r="L163" i="2"/>
  <c r="K163" i="2"/>
  <c r="J163" i="2"/>
  <c r="H163" i="2"/>
  <c r="M162" i="2"/>
  <c r="L162" i="2"/>
  <c r="K162" i="2"/>
  <c r="J162" i="2"/>
  <c r="H162" i="2"/>
  <c r="M161" i="2"/>
  <c r="L161" i="2"/>
  <c r="K161" i="2"/>
  <c r="J161" i="2"/>
  <c r="H161" i="2"/>
  <c r="M160" i="2"/>
  <c r="L160" i="2"/>
  <c r="K160" i="2"/>
  <c r="J160" i="2"/>
  <c r="H160" i="2"/>
  <c r="M159" i="2"/>
  <c r="L159" i="2"/>
  <c r="K159" i="2"/>
  <c r="J159" i="2"/>
  <c r="H159" i="2"/>
  <c r="M158" i="2"/>
  <c r="L158" i="2"/>
  <c r="K158" i="2"/>
  <c r="J158" i="2"/>
  <c r="H158" i="2"/>
  <c r="M157" i="2"/>
  <c r="L157" i="2"/>
  <c r="K157" i="2"/>
  <c r="J157" i="2"/>
  <c r="H157" i="2"/>
  <c r="M156" i="2"/>
  <c r="L156" i="2"/>
  <c r="K156" i="2"/>
  <c r="J156" i="2"/>
  <c r="H156" i="2"/>
  <c r="M155" i="2"/>
  <c r="L155" i="2"/>
  <c r="K155" i="2"/>
  <c r="J155" i="2"/>
  <c r="H155" i="2"/>
  <c r="M154" i="2"/>
  <c r="L154" i="2"/>
  <c r="K154" i="2"/>
  <c r="J154" i="2"/>
  <c r="H154" i="2"/>
  <c r="M153" i="2"/>
  <c r="L153" i="2"/>
  <c r="K153" i="2"/>
  <c r="J153" i="2"/>
  <c r="H153" i="2"/>
  <c r="M152" i="2"/>
  <c r="L152" i="2"/>
  <c r="K152" i="2"/>
  <c r="J152" i="2"/>
  <c r="H152" i="2"/>
  <c r="M151" i="2"/>
  <c r="L151" i="2"/>
  <c r="K151" i="2"/>
  <c r="J151" i="2"/>
  <c r="H151" i="2"/>
  <c r="M150" i="2"/>
  <c r="L150" i="2"/>
  <c r="K150" i="2"/>
  <c r="J150" i="2"/>
  <c r="H150" i="2"/>
  <c r="M149" i="2"/>
  <c r="L149" i="2"/>
  <c r="K149" i="2"/>
  <c r="J149" i="2"/>
  <c r="H149" i="2"/>
  <c r="M148" i="2"/>
  <c r="L148" i="2"/>
  <c r="K148" i="2"/>
  <c r="J148" i="2"/>
  <c r="H148" i="2"/>
  <c r="M147" i="2"/>
  <c r="L147" i="2"/>
  <c r="K147" i="2"/>
  <c r="J147" i="2"/>
  <c r="H147" i="2"/>
  <c r="M146" i="2"/>
  <c r="L146" i="2"/>
  <c r="K146" i="2"/>
  <c r="J146" i="2"/>
  <c r="H146" i="2"/>
  <c r="M145" i="2"/>
  <c r="L145" i="2"/>
  <c r="K145" i="2"/>
  <c r="J145" i="2"/>
  <c r="H145" i="2"/>
  <c r="M144" i="2"/>
  <c r="L144" i="2"/>
  <c r="K144" i="2"/>
  <c r="J144" i="2"/>
  <c r="H144" i="2"/>
  <c r="M143" i="2"/>
  <c r="L143" i="2"/>
  <c r="K143" i="2"/>
  <c r="J143" i="2"/>
  <c r="H143" i="2"/>
  <c r="M142" i="2"/>
  <c r="L142" i="2"/>
  <c r="K142" i="2"/>
  <c r="J142" i="2"/>
  <c r="H142" i="2"/>
  <c r="M141" i="2"/>
  <c r="L141" i="2"/>
  <c r="K141" i="2"/>
  <c r="J141" i="2"/>
  <c r="H141" i="2"/>
  <c r="M140" i="2"/>
  <c r="L140" i="2"/>
  <c r="K140" i="2"/>
  <c r="J140" i="2"/>
  <c r="H140" i="2"/>
  <c r="M139" i="2"/>
  <c r="L139" i="2"/>
  <c r="K139" i="2"/>
  <c r="J139" i="2"/>
  <c r="H139" i="2"/>
  <c r="M138" i="2"/>
  <c r="L138" i="2"/>
  <c r="K138" i="2"/>
  <c r="J138" i="2"/>
  <c r="H138" i="2"/>
  <c r="M137" i="2"/>
  <c r="L137" i="2"/>
  <c r="K137" i="2"/>
  <c r="J137" i="2"/>
  <c r="H137" i="2"/>
  <c r="M136" i="2"/>
  <c r="L136" i="2"/>
  <c r="K136" i="2"/>
  <c r="J136" i="2"/>
  <c r="H136" i="2"/>
  <c r="M135" i="2"/>
  <c r="L135" i="2"/>
  <c r="K135" i="2"/>
  <c r="J135" i="2"/>
  <c r="H135" i="2"/>
  <c r="M134" i="2"/>
  <c r="L134" i="2"/>
  <c r="K134" i="2"/>
  <c r="J134" i="2"/>
  <c r="H134" i="2"/>
  <c r="M133" i="2"/>
  <c r="L133" i="2"/>
  <c r="K133" i="2"/>
  <c r="J133" i="2"/>
  <c r="H133" i="2"/>
  <c r="M132" i="2"/>
  <c r="L132" i="2"/>
  <c r="K132" i="2"/>
  <c r="J132" i="2"/>
  <c r="H132" i="2"/>
  <c r="M131" i="2"/>
  <c r="L131" i="2"/>
  <c r="K131" i="2"/>
  <c r="J131" i="2"/>
  <c r="H131" i="2"/>
  <c r="M130" i="2"/>
  <c r="L130" i="2"/>
  <c r="K130" i="2"/>
  <c r="J130" i="2"/>
  <c r="H130" i="2"/>
  <c r="M129" i="2"/>
  <c r="L129" i="2"/>
  <c r="K129" i="2"/>
  <c r="J129" i="2"/>
  <c r="H129" i="2"/>
  <c r="M128" i="2"/>
  <c r="L128" i="2"/>
  <c r="K128" i="2"/>
  <c r="J128" i="2"/>
  <c r="H128" i="2"/>
  <c r="M127" i="2"/>
  <c r="L127" i="2"/>
  <c r="K127" i="2"/>
  <c r="J127" i="2"/>
  <c r="H127" i="2"/>
  <c r="M126" i="2"/>
  <c r="L126" i="2"/>
  <c r="K126" i="2"/>
  <c r="J126" i="2"/>
  <c r="H126" i="2"/>
  <c r="M125" i="2"/>
  <c r="L125" i="2"/>
  <c r="K125" i="2"/>
  <c r="J125" i="2"/>
  <c r="H125" i="2"/>
  <c r="M124" i="2"/>
  <c r="L124" i="2"/>
  <c r="K124" i="2"/>
  <c r="J124" i="2"/>
  <c r="H124" i="2"/>
  <c r="M123" i="2"/>
  <c r="L123" i="2"/>
  <c r="K123" i="2"/>
  <c r="J123" i="2"/>
  <c r="H123" i="2"/>
  <c r="M122" i="2"/>
  <c r="L122" i="2"/>
  <c r="K122" i="2"/>
  <c r="J122" i="2"/>
  <c r="H122" i="2"/>
  <c r="M121" i="2"/>
  <c r="L121" i="2"/>
  <c r="K121" i="2"/>
  <c r="J121" i="2"/>
  <c r="H121" i="2"/>
  <c r="M120" i="2"/>
  <c r="L120" i="2"/>
  <c r="K120" i="2"/>
  <c r="J120" i="2"/>
  <c r="H120" i="2"/>
  <c r="M119" i="2"/>
  <c r="L119" i="2"/>
  <c r="K119" i="2"/>
  <c r="J119" i="2"/>
  <c r="H119" i="2"/>
  <c r="M118" i="2"/>
  <c r="L118" i="2"/>
  <c r="K118" i="2"/>
  <c r="J118" i="2"/>
  <c r="H118" i="2"/>
  <c r="M117" i="2"/>
  <c r="L117" i="2"/>
  <c r="K117" i="2"/>
  <c r="J117" i="2"/>
  <c r="H117" i="2"/>
  <c r="M116" i="2"/>
  <c r="L116" i="2"/>
  <c r="K116" i="2"/>
  <c r="J116" i="2"/>
  <c r="H116" i="2"/>
  <c r="M115" i="2"/>
  <c r="L115" i="2"/>
  <c r="K115" i="2"/>
  <c r="J115" i="2"/>
  <c r="H115" i="2"/>
  <c r="M114" i="2"/>
  <c r="L114" i="2"/>
  <c r="K114" i="2"/>
  <c r="J114" i="2"/>
  <c r="H114" i="2"/>
  <c r="M113" i="2"/>
  <c r="L113" i="2"/>
  <c r="K113" i="2"/>
  <c r="J113" i="2"/>
  <c r="H113" i="2"/>
  <c r="M112" i="2"/>
  <c r="L112" i="2"/>
  <c r="K112" i="2"/>
  <c r="J112" i="2"/>
  <c r="H112" i="2"/>
  <c r="M111" i="2"/>
  <c r="L111" i="2"/>
  <c r="K111" i="2"/>
  <c r="J111" i="2"/>
  <c r="H111" i="2"/>
  <c r="M110" i="2"/>
  <c r="L110" i="2"/>
  <c r="K110" i="2"/>
  <c r="J110" i="2"/>
  <c r="H110" i="2"/>
  <c r="M109" i="2"/>
  <c r="L109" i="2"/>
  <c r="K109" i="2"/>
  <c r="J109" i="2"/>
  <c r="H109" i="2"/>
  <c r="M108" i="2"/>
  <c r="L108" i="2"/>
  <c r="K108" i="2"/>
  <c r="J108" i="2"/>
  <c r="H108" i="2"/>
  <c r="M107" i="2"/>
  <c r="L107" i="2"/>
  <c r="K107" i="2"/>
  <c r="J107" i="2"/>
  <c r="H107" i="2"/>
  <c r="M106" i="2"/>
  <c r="L106" i="2"/>
  <c r="K106" i="2"/>
  <c r="J106" i="2"/>
  <c r="H106" i="2"/>
  <c r="M105" i="2"/>
  <c r="L105" i="2"/>
  <c r="K105" i="2"/>
  <c r="J105" i="2"/>
  <c r="H105" i="2"/>
  <c r="M104" i="2"/>
  <c r="L104" i="2"/>
  <c r="K104" i="2"/>
  <c r="J104" i="2"/>
  <c r="H104" i="2"/>
  <c r="M103" i="2"/>
  <c r="L103" i="2"/>
  <c r="K103" i="2"/>
  <c r="J103" i="2"/>
  <c r="H103" i="2"/>
  <c r="M102" i="2"/>
  <c r="L102" i="2"/>
  <c r="K102" i="2"/>
  <c r="J102" i="2"/>
  <c r="H102" i="2"/>
  <c r="M101" i="2"/>
  <c r="L101" i="2"/>
  <c r="K101" i="2"/>
  <c r="J101" i="2"/>
  <c r="H101" i="2"/>
  <c r="M100" i="2"/>
  <c r="L100" i="2"/>
  <c r="K100" i="2"/>
  <c r="J100" i="2"/>
  <c r="H100" i="2"/>
  <c r="M99" i="2"/>
  <c r="L99" i="2"/>
  <c r="K99" i="2"/>
  <c r="J99" i="2"/>
  <c r="H99" i="2"/>
  <c r="M98" i="2"/>
  <c r="L98" i="2"/>
  <c r="K98" i="2"/>
  <c r="J98" i="2"/>
  <c r="H98" i="2"/>
  <c r="M97" i="2"/>
  <c r="L97" i="2"/>
  <c r="K97" i="2"/>
  <c r="J97" i="2"/>
  <c r="H97" i="2"/>
  <c r="M96" i="2"/>
  <c r="L96" i="2"/>
  <c r="K96" i="2"/>
  <c r="J96" i="2"/>
  <c r="H96" i="2"/>
  <c r="M95" i="2"/>
  <c r="L95" i="2"/>
  <c r="K95" i="2"/>
  <c r="J95" i="2"/>
  <c r="H95" i="2"/>
  <c r="M94" i="2"/>
  <c r="L94" i="2"/>
  <c r="K94" i="2"/>
  <c r="J94" i="2"/>
  <c r="H94" i="2"/>
  <c r="M93" i="2"/>
  <c r="L93" i="2"/>
  <c r="K93" i="2"/>
  <c r="J93" i="2"/>
  <c r="H93" i="2"/>
  <c r="M92" i="2"/>
  <c r="L92" i="2"/>
  <c r="K92" i="2"/>
  <c r="J92" i="2"/>
  <c r="H92" i="2"/>
  <c r="M91" i="2"/>
  <c r="L91" i="2"/>
  <c r="K91" i="2"/>
  <c r="J91" i="2"/>
  <c r="H91" i="2"/>
  <c r="M90" i="2"/>
  <c r="L90" i="2"/>
  <c r="K90" i="2"/>
  <c r="J90" i="2"/>
  <c r="H90" i="2"/>
  <c r="M89" i="2"/>
  <c r="L89" i="2"/>
  <c r="K89" i="2"/>
  <c r="J89" i="2"/>
  <c r="H89" i="2"/>
  <c r="M88" i="2"/>
  <c r="L88" i="2"/>
  <c r="K88" i="2"/>
  <c r="J88" i="2"/>
  <c r="H88" i="2"/>
  <c r="M87" i="2"/>
  <c r="L87" i="2"/>
  <c r="K87" i="2"/>
  <c r="J87" i="2"/>
  <c r="H87" i="2"/>
  <c r="M86" i="2"/>
  <c r="L86" i="2"/>
  <c r="K86" i="2"/>
  <c r="J86" i="2"/>
  <c r="H86" i="2"/>
  <c r="M85" i="2"/>
  <c r="L85" i="2"/>
  <c r="K85" i="2"/>
  <c r="J85" i="2"/>
  <c r="H85" i="2"/>
  <c r="M84" i="2"/>
  <c r="L84" i="2"/>
  <c r="K84" i="2"/>
  <c r="J84" i="2"/>
  <c r="H84" i="2"/>
  <c r="M83" i="2"/>
  <c r="L83" i="2"/>
  <c r="K83" i="2"/>
  <c r="J83" i="2"/>
  <c r="H83" i="2"/>
  <c r="M82" i="2"/>
  <c r="L82" i="2"/>
  <c r="K82" i="2"/>
  <c r="J82" i="2"/>
  <c r="H82" i="2"/>
  <c r="M81" i="2"/>
  <c r="L81" i="2"/>
  <c r="K81" i="2"/>
  <c r="J81" i="2"/>
  <c r="H81" i="2"/>
  <c r="M80" i="2"/>
  <c r="L80" i="2"/>
  <c r="K80" i="2"/>
  <c r="J80" i="2"/>
  <c r="H80" i="2"/>
  <c r="M79" i="2"/>
  <c r="L79" i="2"/>
  <c r="K79" i="2"/>
  <c r="J79" i="2"/>
  <c r="H79" i="2"/>
  <c r="M78" i="2"/>
  <c r="L78" i="2"/>
  <c r="K78" i="2"/>
  <c r="J78" i="2"/>
  <c r="H78" i="2"/>
  <c r="M77" i="2"/>
  <c r="L77" i="2"/>
  <c r="K77" i="2"/>
  <c r="J77" i="2"/>
  <c r="H77" i="2"/>
  <c r="M76" i="2"/>
  <c r="L76" i="2"/>
  <c r="K76" i="2"/>
  <c r="J76" i="2"/>
  <c r="H76" i="2"/>
  <c r="M75" i="2"/>
  <c r="L75" i="2"/>
  <c r="K75" i="2"/>
  <c r="J75" i="2"/>
  <c r="H75" i="2"/>
  <c r="M74" i="2"/>
  <c r="L74" i="2"/>
  <c r="K74" i="2"/>
  <c r="J74" i="2"/>
  <c r="H74" i="2"/>
  <c r="M73" i="2"/>
  <c r="L73" i="2"/>
  <c r="K73" i="2"/>
  <c r="J73" i="2"/>
  <c r="H73" i="2"/>
  <c r="M72" i="2"/>
  <c r="L72" i="2"/>
  <c r="K72" i="2"/>
  <c r="J72" i="2"/>
  <c r="H72" i="2"/>
  <c r="M71" i="2"/>
  <c r="L71" i="2"/>
  <c r="K71" i="2"/>
  <c r="J71" i="2"/>
  <c r="H71" i="2"/>
  <c r="M70" i="2"/>
  <c r="L70" i="2"/>
  <c r="K70" i="2"/>
  <c r="J70" i="2"/>
  <c r="H70" i="2"/>
  <c r="M69" i="2"/>
  <c r="L69" i="2"/>
  <c r="K69" i="2"/>
  <c r="J69" i="2"/>
  <c r="H69" i="2"/>
  <c r="M68" i="2"/>
  <c r="L68" i="2"/>
  <c r="K68" i="2"/>
  <c r="J68" i="2"/>
  <c r="H68" i="2"/>
  <c r="M67" i="2"/>
  <c r="L67" i="2"/>
  <c r="K67" i="2"/>
  <c r="J67" i="2"/>
  <c r="H67" i="2"/>
  <c r="M66" i="2"/>
  <c r="L66" i="2"/>
  <c r="K66" i="2"/>
  <c r="J66" i="2"/>
  <c r="H66" i="2"/>
  <c r="M65" i="2"/>
  <c r="L65" i="2"/>
  <c r="K65" i="2"/>
  <c r="J65" i="2"/>
  <c r="H65" i="2"/>
  <c r="M64" i="2"/>
  <c r="L64" i="2"/>
  <c r="K64" i="2"/>
  <c r="J64" i="2"/>
  <c r="H64" i="2"/>
  <c r="M63" i="2"/>
  <c r="L63" i="2"/>
  <c r="K63" i="2"/>
  <c r="J63" i="2"/>
  <c r="H63" i="2"/>
  <c r="M62" i="2"/>
  <c r="L62" i="2"/>
  <c r="K62" i="2"/>
  <c r="J62" i="2"/>
  <c r="H62" i="2"/>
  <c r="M61" i="2"/>
  <c r="L61" i="2"/>
  <c r="K61" i="2"/>
  <c r="J61" i="2"/>
  <c r="H61" i="2"/>
  <c r="M60" i="2"/>
  <c r="L60" i="2"/>
  <c r="K60" i="2"/>
  <c r="J60" i="2"/>
  <c r="H60" i="2"/>
  <c r="M59" i="2"/>
  <c r="L59" i="2"/>
  <c r="K59" i="2"/>
  <c r="J59" i="2"/>
  <c r="H59" i="2"/>
  <c r="M58" i="2"/>
  <c r="L58" i="2"/>
  <c r="K58" i="2"/>
  <c r="J58" i="2"/>
  <c r="H58" i="2"/>
  <c r="M57" i="2"/>
  <c r="L57" i="2"/>
  <c r="K57" i="2"/>
  <c r="J57" i="2"/>
  <c r="H57" i="2"/>
  <c r="M56" i="2"/>
  <c r="L56" i="2"/>
  <c r="K56" i="2"/>
  <c r="J56" i="2"/>
  <c r="H56" i="2"/>
  <c r="M55" i="2"/>
  <c r="L55" i="2"/>
  <c r="K55" i="2"/>
  <c r="J55" i="2"/>
  <c r="H55" i="2"/>
  <c r="M54" i="2"/>
  <c r="L54" i="2"/>
  <c r="K54" i="2"/>
  <c r="J54" i="2"/>
  <c r="H54" i="2"/>
  <c r="M53" i="2"/>
  <c r="L53" i="2"/>
  <c r="K53" i="2"/>
  <c r="J53" i="2"/>
  <c r="H53" i="2"/>
  <c r="M52" i="2"/>
  <c r="L52" i="2"/>
  <c r="K52" i="2"/>
  <c r="J52" i="2"/>
  <c r="H52" i="2"/>
  <c r="M51" i="2"/>
  <c r="L51" i="2"/>
  <c r="K51" i="2"/>
  <c r="J51" i="2"/>
  <c r="H51" i="2"/>
  <c r="M50" i="2"/>
  <c r="L50" i="2"/>
  <c r="K50" i="2"/>
  <c r="J50" i="2"/>
  <c r="H50" i="2"/>
  <c r="M49" i="2"/>
  <c r="L49" i="2"/>
  <c r="K49" i="2"/>
  <c r="J49" i="2"/>
  <c r="H49" i="2"/>
  <c r="M48" i="2"/>
  <c r="L48" i="2"/>
  <c r="K48" i="2"/>
  <c r="J48" i="2"/>
  <c r="H48" i="2"/>
  <c r="M47" i="2"/>
  <c r="L47" i="2"/>
  <c r="K47" i="2"/>
  <c r="J47" i="2"/>
  <c r="H47" i="2"/>
  <c r="M46" i="2"/>
  <c r="L46" i="2"/>
  <c r="K46" i="2"/>
  <c r="J46" i="2"/>
  <c r="H46" i="2"/>
  <c r="M45" i="2"/>
  <c r="L45" i="2"/>
  <c r="K45" i="2"/>
  <c r="J45" i="2"/>
  <c r="H45" i="2"/>
  <c r="M44" i="2"/>
  <c r="L44" i="2"/>
  <c r="K44" i="2"/>
  <c r="J44" i="2"/>
  <c r="H44" i="2"/>
  <c r="M43" i="2"/>
  <c r="L43" i="2"/>
  <c r="K43" i="2"/>
  <c r="J43" i="2"/>
  <c r="H43" i="2"/>
  <c r="M42" i="2"/>
  <c r="L42" i="2"/>
  <c r="K42" i="2"/>
  <c r="J42" i="2"/>
  <c r="H42" i="2"/>
  <c r="M41" i="2"/>
  <c r="L41" i="2"/>
  <c r="K41" i="2"/>
  <c r="J41" i="2"/>
  <c r="H41" i="2"/>
  <c r="M40" i="2"/>
  <c r="L40" i="2"/>
  <c r="K40" i="2"/>
  <c r="J40" i="2"/>
  <c r="H40" i="2"/>
  <c r="M39" i="2"/>
  <c r="L39" i="2"/>
  <c r="K39" i="2"/>
  <c r="J39" i="2"/>
  <c r="H39" i="2"/>
  <c r="M38" i="2"/>
  <c r="L38" i="2"/>
  <c r="K38" i="2"/>
  <c r="J38" i="2"/>
  <c r="H38" i="2"/>
  <c r="M37" i="2"/>
  <c r="L37" i="2"/>
  <c r="K37" i="2"/>
  <c r="J37" i="2"/>
  <c r="H37" i="2"/>
  <c r="M36" i="2"/>
  <c r="L36" i="2"/>
  <c r="K36" i="2"/>
  <c r="J36" i="2"/>
  <c r="H36" i="2"/>
  <c r="M35" i="2"/>
  <c r="L35" i="2"/>
  <c r="K35" i="2"/>
  <c r="J35" i="2"/>
  <c r="H35" i="2"/>
  <c r="M34" i="2"/>
  <c r="L34" i="2"/>
  <c r="K34" i="2"/>
  <c r="J34" i="2"/>
  <c r="H34" i="2"/>
  <c r="M33" i="2"/>
  <c r="L33" i="2"/>
  <c r="K33" i="2"/>
  <c r="J33" i="2"/>
  <c r="H33" i="2"/>
  <c r="M32" i="2"/>
  <c r="L32" i="2"/>
  <c r="K32" i="2"/>
  <c r="J32" i="2"/>
  <c r="H32" i="2"/>
  <c r="M31" i="2"/>
  <c r="L31" i="2"/>
  <c r="K31" i="2"/>
  <c r="J31" i="2"/>
  <c r="H31" i="2"/>
  <c r="M30" i="2"/>
  <c r="L30" i="2"/>
  <c r="K30" i="2"/>
  <c r="J30" i="2"/>
  <c r="H30" i="2"/>
  <c r="M29" i="2"/>
  <c r="L29" i="2"/>
  <c r="K29" i="2"/>
  <c r="J29" i="2"/>
  <c r="H29" i="2"/>
  <c r="M28" i="2"/>
  <c r="L28" i="2"/>
  <c r="K28" i="2"/>
  <c r="J28" i="2"/>
  <c r="H28" i="2"/>
  <c r="M27" i="2"/>
  <c r="L27" i="2"/>
  <c r="K27" i="2"/>
  <c r="J27" i="2"/>
  <c r="H27" i="2"/>
  <c r="M26" i="2"/>
  <c r="L26" i="2"/>
  <c r="K26" i="2"/>
  <c r="J26" i="2"/>
  <c r="H26" i="2"/>
  <c r="M25" i="2"/>
  <c r="L25" i="2"/>
  <c r="K25" i="2"/>
  <c r="J25" i="2"/>
  <c r="H25" i="2"/>
  <c r="M24" i="2"/>
  <c r="L24" i="2"/>
  <c r="K24" i="2"/>
  <c r="J24" i="2"/>
  <c r="H24" i="2"/>
  <c r="M23" i="2"/>
  <c r="L23" i="2"/>
  <c r="K23" i="2"/>
  <c r="J23" i="2"/>
  <c r="H23" i="2"/>
  <c r="M22" i="2"/>
  <c r="L22" i="2"/>
  <c r="K22" i="2"/>
  <c r="J22" i="2"/>
  <c r="H22" i="2"/>
  <c r="M21" i="2"/>
  <c r="L21" i="2"/>
  <c r="K21" i="2"/>
  <c r="J21" i="2"/>
  <c r="H21" i="2"/>
  <c r="M20" i="2"/>
  <c r="L20" i="2"/>
  <c r="K20" i="2"/>
  <c r="J20" i="2"/>
  <c r="H20" i="2"/>
  <c r="M19" i="2"/>
  <c r="L19" i="2"/>
  <c r="K19" i="2"/>
  <c r="J19" i="2"/>
  <c r="H19" i="2"/>
  <c r="M18" i="2"/>
  <c r="L18" i="2"/>
  <c r="K18" i="2"/>
  <c r="J18" i="2"/>
  <c r="H18" i="2"/>
  <c r="M17" i="2"/>
  <c r="L17" i="2"/>
  <c r="K17" i="2"/>
  <c r="J17" i="2"/>
  <c r="H17" i="2"/>
  <c r="M16" i="2"/>
  <c r="L16" i="2"/>
  <c r="K16" i="2"/>
  <c r="J16" i="2"/>
  <c r="H16" i="2"/>
  <c r="M15" i="2"/>
  <c r="L15" i="2"/>
  <c r="K15" i="2"/>
  <c r="J15" i="2"/>
  <c r="H15" i="2"/>
  <c r="M14" i="2"/>
  <c r="L14" i="2"/>
  <c r="K14" i="2"/>
  <c r="J14" i="2"/>
  <c r="H14" i="2"/>
  <c r="M13" i="2"/>
  <c r="L13" i="2"/>
  <c r="K13" i="2"/>
  <c r="J13" i="2"/>
  <c r="H13" i="2"/>
  <c r="M12" i="2"/>
  <c r="L12" i="2"/>
  <c r="K12" i="2"/>
  <c r="J12" i="2"/>
  <c r="H12" i="2"/>
  <c r="M11" i="2"/>
  <c r="L11" i="2"/>
  <c r="K11" i="2"/>
  <c r="J11" i="2"/>
  <c r="H11" i="2"/>
  <c r="M10" i="2"/>
  <c r="L10" i="2"/>
  <c r="K10" i="2"/>
  <c r="J10" i="2"/>
  <c r="H10" i="2"/>
  <c r="M9" i="2"/>
  <c r="L9" i="2"/>
  <c r="K9" i="2"/>
  <c r="J9" i="2"/>
  <c r="H9" i="2"/>
  <c r="M8" i="2"/>
  <c r="L8" i="2"/>
  <c r="K8" i="2"/>
  <c r="J8" i="2"/>
  <c r="H8" i="2"/>
  <c r="M7" i="2"/>
  <c r="L7" i="2"/>
  <c r="K7" i="2"/>
  <c r="J7" i="2"/>
  <c r="H7" i="2"/>
  <c r="M6" i="2"/>
  <c r="L6" i="2"/>
  <c r="K6" i="2"/>
  <c r="J6" i="2"/>
  <c r="H6" i="2"/>
  <c r="M5" i="2"/>
  <c r="L5" i="2"/>
  <c r="K5" i="2"/>
  <c r="J5" i="2"/>
  <c r="H5" i="2"/>
  <c r="M4" i="2"/>
  <c r="L4" i="2"/>
  <c r="K4" i="2"/>
  <c r="J4" i="2"/>
  <c r="H4" i="2"/>
  <c r="M3" i="2"/>
  <c r="L3" i="2"/>
  <c r="K3" i="2"/>
  <c r="J3" i="2"/>
  <c r="H3" i="2"/>
  <c r="M2" i="2"/>
  <c r="L2" i="2"/>
  <c r="K2" i="2"/>
  <c r="J2" i="2"/>
  <c r="I2" i="2"/>
  <c r="H2" i="2"/>
  <c r="C25" i="3" l="1"/>
  <c r="G20" i="3"/>
</calcChain>
</file>

<file path=xl/sharedStrings.xml><?xml version="1.0" encoding="utf-8"?>
<sst xmlns="http://schemas.openxmlformats.org/spreadsheetml/2006/main" count="1896" uniqueCount="408">
  <si>
    <t>PRP0045</t>
  </si>
  <si>
    <t>Apartment</t>
  </si>
  <si>
    <t>Hargeisa</t>
  </si>
  <si>
    <t>PRP0188</t>
  </si>
  <si>
    <t>Baidoa</t>
  </si>
  <si>
    <t>Villa</t>
  </si>
  <si>
    <t>Mogadishu</t>
  </si>
  <si>
    <t>PRP0212</t>
  </si>
  <si>
    <t>House</t>
  </si>
  <si>
    <t>PRP0141</t>
  </si>
  <si>
    <t>Commercial</t>
  </si>
  <si>
    <t>PRP0230</t>
  </si>
  <si>
    <t>PRP0255</t>
  </si>
  <si>
    <t>PRP0208</t>
  </si>
  <si>
    <t>PRP0273</t>
  </si>
  <si>
    <t>PRP0016</t>
  </si>
  <si>
    <t>PRP0062</t>
  </si>
  <si>
    <t>PRP0091</t>
  </si>
  <si>
    <t>N/A</t>
  </si>
  <si>
    <t>PRP0197</t>
  </si>
  <si>
    <t>PRP0137</t>
  </si>
  <si>
    <t>PRP0168</t>
  </si>
  <si>
    <t>PRP0025</t>
  </si>
  <si>
    <t>Land</t>
  </si>
  <si>
    <t>PRP0118</t>
  </si>
  <si>
    <t>PRP0276</t>
  </si>
  <si>
    <t>PRP0149</t>
  </si>
  <si>
    <t>PRP0223</t>
  </si>
  <si>
    <t>PRP0159</t>
  </si>
  <si>
    <t>PRP0287</t>
  </si>
  <si>
    <t>NULL</t>
  </si>
  <si>
    <t>PRP0122</t>
  </si>
  <si>
    <t>PRP0267</t>
  </si>
  <si>
    <t>PRP0169</t>
  </si>
  <si>
    <t>garowe</t>
  </si>
  <si>
    <t>PRP0245</t>
  </si>
  <si>
    <t>Bosaso</t>
  </si>
  <si>
    <t>PRP0112</t>
  </si>
  <si>
    <t>Kismayo</t>
  </si>
  <si>
    <t>Garowe</t>
  </si>
  <si>
    <t>PRP0003</t>
  </si>
  <si>
    <t>PRP0177</t>
  </si>
  <si>
    <t>PRP0081</t>
  </si>
  <si>
    <t>PRP0018</t>
  </si>
  <si>
    <t>PRP0187</t>
  </si>
  <si>
    <t>PRP0269</t>
  </si>
  <si>
    <t>PRP0072</t>
  </si>
  <si>
    <t>PRP0196</t>
  </si>
  <si>
    <t>PRP0155</t>
  </si>
  <si>
    <t>PRP0277</t>
  </si>
  <si>
    <t>PRP0214</t>
  </si>
  <si>
    <t>-</t>
  </si>
  <si>
    <t>PRP0220</t>
  </si>
  <si>
    <t>PRP0265</t>
  </si>
  <si>
    <t>PRP0089</t>
  </si>
  <si>
    <t>PRP0114</t>
  </si>
  <si>
    <t>PRP0266</t>
  </si>
  <si>
    <t>PRP0029</t>
  </si>
  <si>
    <t>PRP0236</t>
  </si>
  <si>
    <t>PRP0175</t>
  </si>
  <si>
    <t>PRP0108</t>
  </si>
  <si>
    <t>PRP0050</t>
  </si>
  <si>
    <t>PRP0193</t>
  </si>
  <si>
    <t>PRP0256</t>
  </si>
  <si>
    <t>PRP0153</t>
  </si>
  <si>
    <t>PRP0242</t>
  </si>
  <si>
    <t>PRP0191</t>
  </si>
  <si>
    <t>PRP0217</t>
  </si>
  <si>
    <t>PRP0032</t>
  </si>
  <si>
    <t>PRP0158</t>
  </si>
  <si>
    <t>PRP0020</t>
  </si>
  <si>
    <t>PRP0250</t>
  </si>
  <si>
    <t>PRP0092</t>
  </si>
  <si>
    <t>PRP0286</t>
  </si>
  <si>
    <t>PRP0207</t>
  </si>
  <si>
    <t>PRP0183</t>
  </si>
  <si>
    <t>PRP0146</t>
  </si>
  <si>
    <t>PRP0040</t>
  </si>
  <si>
    <t>PRP0182</t>
  </si>
  <si>
    <t>PRP0268</t>
  </si>
  <si>
    <t>PRP0262</t>
  </si>
  <si>
    <t>PRP0031</t>
  </si>
  <si>
    <t>PRP0080</t>
  </si>
  <si>
    <t>PRP0173</t>
  </si>
  <si>
    <t>house</t>
  </si>
  <si>
    <t>PRP0248</t>
  </si>
  <si>
    <t>PRP0136</t>
  </si>
  <si>
    <t>PRP0079</t>
  </si>
  <si>
    <t>PRP0225</t>
  </si>
  <si>
    <t>MOGADISHU</t>
  </si>
  <si>
    <t>PRP0057</t>
  </si>
  <si>
    <t>PRP0181</t>
  </si>
  <si>
    <t>PRP0027</t>
  </si>
  <si>
    <t>PRP0247</t>
  </si>
  <si>
    <t>PRP0131</t>
  </si>
  <si>
    <t>PRP0051</t>
  </si>
  <si>
    <t>PRP0139</t>
  </si>
  <si>
    <t>PRP0110</t>
  </si>
  <si>
    <t>PRP0278</t>
  </si>
  <si>
    <t>PRP0021</t>
  </si>
  <si>
    <t>PRP0090</t>
  </si>
  <si>
    <t>PRP0083</t>
  </si>
  <si>
    <t>PRP0240</t>
  </si>
  <si>
    <t>PRP0009</t>
  </si>
  <si>
    <t>PRP0243</t>
  </si>
  <si>
    <t>PRP0138</t>
  </si>
  <si>
    <t>PRP0154</t>
  </si>
  <si>
    <t>PRP0258</t>
  </si>
  <si>
    <t>PRP0234</t>
  </si>
  <si>
    <t>PRP0101</t>
  </si>
  <si>
    <t>PRP0104</t>
  </si>
  <si>
    <t>PRP0244</t>
  </si>
  <si>
    <t>PRP0259</t>
  </si>
  <si>
    <t>PRP0228</t>
  </si>
  <si>
    <t>PRP0246</t>
  </si>
  <si>
    <t>PRP0102</t>
  </si>
  <si>
    <t>PRP0068</t>
  </si>
  <si>
    <t>PRP0127</t>
  </si>
  <si>
    <t>PRP0252</t>
  </si>
  <si>
    <t>PRP0170</t>
  </si>
  <si>
    <t>PRP0283</t>
  </si>
  <si>
    <t>PRP0185</t>
  </si>
  <si>
    <t>PRP0113</t>
  </si>
  <si>
    <t>PRP0047</t>
  </si>
  <si>
    <t>PRP0054</t>
  </si>
  <si>
    <t>PRP0281</t>
  </si>
  <si>
    <t>PRP0205</t>
  </si>
  <si>
    <t>PRP0140</t>
  </si>
  <si>
    <t>PRP0064</t>
  </si>
  <si>
    <t>PRP0147</t>
  </si>
  <si>
    <t>PRP0071</t>
  </si>
  <si>
    <t>PRP0105</t>
  </si>
  <si>
    <t>PRP0061</t>
  </si>
  <si>
    <t>PRP0070</t>
  </si>
  <si>
    <t>PRP0088</t>
  </si>
  <si>
    <t>PRP0120</t>
  </si>
  <si>
    <t>PRP0200</t>
  </si>
  <si>
    <t>PRP0135</t>
  </si>
  <si>
    <t>PRP0059</t>
  </si>
  <si>
    <t>PRP0132</t>
  </si>
  <si>
    <t>PRP0069</t>
  </si>
  <si>
    <t>PRP0086</t>
  </si>
  <si>
    <t>PRP0039</t>
  </si>
  <si>
    <t>PRP0213</t>
  </si>
  <si>
    <t>PRP0167</t>
  </si>
  <si>
    <t>PRP0097</t>
  </si>
  <si>
    <t>PRP0210</t>
  </si>
  <si>
    <t>PRP0117</t>
  </si>
  <si>
    <t>PRP0130</t>
  </si>
  <si>
    <t>PRP0209</t>
  </si>
  <si>
    <t>land</t>
  </si>
  <si>
    <t>GAROWE</t>
  </si>
  <si>
    <t>PRP0043</t>
  </si>
  <si>
    <t>PRP0264</t>
  </si>
  <si>
    <t>PRP0076</t>
  </si>
  <si>
    <t>PRP0280</t>
  </si>
  <si>
    <t>PRP0006</t>
  </si>
  <si>
    <t>PRP0085</t>
  </si>
  <si>
    <t>PRP0157</t>
  </si>
  <si>
    <t>kismayo</t>
  </si>
  <si>
    <t>PRP0041</t>
  </si>
  <si>
    <t>PRP0115</t>
  </si>
  <si>
    <t>PRP0227</t>
  </si>
  <si>
    <t>PRP0189</t>
  </si>
  <si>
    <t>PRP0290</t>
  </si>
  <si>
    <t>PRP0249</t>
  </si>
  <si>
    <t>PRP0103</t>
  </si>
  <si>
    <t>PRP0123</t>
  </si>
  <si>
    <t>PRP0094</t>
  </si>
  <si>
    <t>PRP0233</t>
  </si>
  <si>
    <t>PRP0036</t>
  </si>
  <si>
    <t>PRP0017</t>
  </si>
  <si>
    <t>PRP0107</t>
  </si>
  <si>
    <t>PRP0007</t>
  </si>
  <si>
    <t>apartment</t>
  </si>
  <si>
    <t>PRP0239</t>
  </si>
  <si>
    <t>PRP0058</t>
  </si>
  <si>
    <t>PRP0178</t>
  </si>
  <si>
    <t>PRP0133</t>
  </si>
  <si>
    <t>PRP0164</t>
  </si>
  <si>
    <t>PRP0008</t>
  </si>
  <si>
    <t>PRP0231</t>
  </si>
  <si>
    <t>PRP0111</t>
  </si>
  <si>
    <t>PRP0257</t>
  </si>
  <si>
    <t>PRP0093</t>
  </si>
  <si>
    <t>PRP0251</t>
  </si>
  <si>
    <t>PRP0291</t>
  </si>
  <si>
    <t>PRP0171</t>
  </si>
  <si>
    <t>PRP0087</t>
  </si>
  <si>
    <t>PRP0203</t>
  </si>
  <si>
    <t>PRP0134</t>
  </si>
  <si>
    <t>PRP0151</t>
  </si>
  <si>
    <t>PRP0042</t>
  </si>
  <si>
    <t>PRP0235</t>
  </si>
  <si>
    <t>PRP0125</t>
  </si>
  <si>
    <t>PRP0128</t>
  </si>
  <si>
    <t>PRP0119</t>
  </si>
  <si>
    <t>PRP0060</t>
  </si>
  <si>
    <t>PRP0075</t>
  </si>
  <si>
    <t>PRP0279</t>
  </si>
  <si>
    <t>PRP0284</t>
  </si>
  <si>
    <t>PRP0224</t>
  </si>
  <si>
    <t>PRP0195</t>
  </si>
  <si>
    <t>PRP0022</t>
  </si>
  <si>
    <t>PRP0260</t>
  </si>
  <si>
    <t>PRP0142</t>
  </si>
  <si>
    <t>PRP0066</t>
  </si>
  <si>
    <t>PRP0046</t>
  </si>
  <si>
    <t>HOUSE</t>
  </si>
  <si>
    <t>PRP0221</t>
  </si>
  <si>
    <t>PRP0289</t>
  </si>
  <si>
    <t>PRP0148</t>
  </si>
  <si>
    <t>PRP0019</t>
  </si>
  <si>
    <t>PRP0274</t>
  </si>
  <si>
    <t>PRP0222</t>
  </si>
  <si>
    <t>PRP0271</t>
  </si>
  <si>
    <t>PRP0216</t>
  </si>
  <si>
    <t>PRP0078</t>
  </si>
  <si>
    <t>PRP0024</t>
  </si>
  <si>
    <t>PRP0190</t>
  </si>
  <si>
    <t>PRP0161</t>
  </si>
  <si>
    <t>PRP0160</t>
  </si>
  <si>
    <t>PRP0001</t>
  </si>
  <si>
    <t>PRP0156</t>
  </si>
  <si>
    <t>PRP0013</t>
  </si>
  <si>
    <t>PRP0084</t>
  </si>
  <si>
    <t>PRP0204</t>
  </si>
  <si>
    <t>PRP0261</t>
  </si>
  <si>
    <t>PRP0030</t>
  </si>
  <si>
    <t>PRP0165</t>
  </si>
  <si>
    <t>PRP0254</t>
  </si>
  <si>
    <t>PRP0263</t>
  </si>
  <si>
    <t>PRP0253</t>
  </si>
  <si>
    <t>PRP0145</t>
  </si>
  <si>
    <t>PRP0152</t>
  </si>
  <si>
    <t>PRP0194</t>
  </si>
  <si>
    <t>PRP0241</t>
  </si>
  <si>
    <t>PRP0288</t>
  </si>
  <si>
    <t>PRP0028</t>
  </si>
  <si>
    <t>PRP0012</t>
  </si>
  <si>
    <t>PRP0150</t>
  </si>
  <si>
    <t>PRP0166</t>
  </si>
  <si>
    <t>PRP0063</t>
  </si>
  <si>
    <t>PRP0010</t>
  </si>
  <si>
    <t>PRP0282</t>
  </si>
  <si>
    <t>PRP0109</t>
  </si>
  <si>
    <t>PRP0034</t>
  </si>
  <si>
    <t>PRP0026</t>
  </si>
  <si>
    <t>PRP0005</t>
  </si>
  <si>
    <t>PRP0172</t>
  </si>
  <si>
    <t>PRP0044</t>
  </si>
  <si>
    <t>PRP0180</t>
  </si>
  <si>
    <t>PRP0095</t>
  </si>
  <si>
    <t>PRP0073</t>
  </si>
  <si>
    <t>PRP0099</t>
  </si>
  <si>
    <t>PRP0126</t>
  </si>
  <si>
    <t>PRP0082</t>
  </si>
  <si>
    <t>PRP0096</t>
  </si>
  <si>
    <t>PRP0237</t>
  </si>
  <si>
    <t>baidoa</t>
  </si>
  <si>
    <t>PRP0272</t>
  </si>
  <si>
    <t>PRP0174</t>
  </si>
  <si>
    <t>PRP0098</t>
  </si>
  <si>
    <t>PRP0206</t>
  </si>
  <si>
    <t>PRP0202</t>
  </si>
  <si>
    <t>PRP0163</t>
  </si>
  <si>
    <t>PRP0033</t>
  </si>
  <si>
    <t>PRP0052</t>
  </si>
  <si>
    <t>PRP0023</t>
  </si>
  <si>
    <t>PRP0065</t>
  </si>
  <si>
    <t>PRP0124</t>
  </si>
  <si>
    <t>PRP0015</t>
  </si>
  <si>
    <t>PRP0179</t>
  </si>
  <si>
    <t>villa</t>
  </si>
  <si>
    <t>PRP0238</t>
  </si>
  <si>
    <t>PRP0049</t>
  </si>
  <si>
    <t>PRP0176</t>
  </si>
  <si>
    <t>PRP0186</t>
  </si>
  <si>
    <t>PRP0275</t>
  </si>
  <si>
    <t>PRP0014</t>
  </si>
  <si>
    <t>PRP0198</t>
  </si>
  <si>
    <t>PRP0004</t>
  </si>
  <si>
    <t>PRP0048</t>
  </si>
  <si>
    <t>PRP0037</t>
  </si>
  <si>
    <t>PRP0067</t>
  </si>
  <si>
    <t>PRP0219</t>
  </si>
  <si>
    <t>PRP0038</t>
  </si>
  <si>
    <t>PRP0270</t>
  </si>
  <si>
    <t>PRP0201</t>
  </si>
  <si>
    <t>PRP0162</t>
  </si>
  <si>
    <t>PRP0292</t>
  </si>
  <si>
    <t>PRP0055</t>
  </si>
  <si>
    <t>PRP0116</t>
  </si>
  <si>
    <t>PRP0211</t>
  </si>
  <si>
    <t>PRP0215</t>
  </si>
  <si>
    <t>PRP0192</t>
  </si>
  <si>
    <t>PRP0106</t>
  </si>
  <si>
    <t>PRP0232</t>
  </si>
  <si>
    <t>PRP0226</t>
  </si>
  <si>
    <t>PRP0100</t>
  </si>
  <si>
    <t>PRP0144</t>
  </si>
  <si>
    <t>Property_ID</t>
  </si>
  <si>
    <t>Listing_Date</t>
  </si>
  <si>
    <t>Property_Type</t>
  </si>
  <si>
    <t>Location</t>
  </si>
  <si>
    <t>Size_Sqm</t>
  </si>
  <si>
    <t>Bedrooms</t>
  </si>
  <si>
    <t>Price</t>
  </si>
  <si>
    <t>Days Since Listing</t>
  </si>
  <si>
    <t>ID_Extracted</t>
  </si>
  <si>
    <t>Location Length</t>
  </si>
  <si>
    <t>Standardized</t>
  </si>
  <si>
    <t>Standardized2</t>
  </si>
  <si>
    <t>Unknown</t>
  </si>
  <si>
    <t>Unknown01</t>
  </si>
  <si>
    <t>Unknown02</t>
  </si>
  <si>
    <t>Unknown03</t>
  </si>
  <si>
    <t>Unknown04</t>
  </si>
  <si>
    <t>Unknown05</t>
  </si>
  <si>
    <t>Unknown06</t>
  </si>
  <si>
    <t>Unknown07</t>
  </si>
  <si>
    <t>Unknown08</t>
  </si>
  <si>
    <t>Unknown09</t>
  </si>
  <si>
    <t>Unknown10</t>
  </si>
  <si>
    <t>Unknown11</t>
  </si>
  <si>
    <t>Unknown12</t>
  </si>
  <si>
    <t>Unknown13</t>
  </si>
  <si>
    <t>Unknown14</t>
  </si>
  <si>
    <t>Unknown15</t>
  </si>
  <si>
    <t>DATA QUALITY SUMMARY</t>
  </si>
  <si>
    <t>BEFORE CLEANING</t>
  </si>
  <si>
    <t>AFTER CLEANING</t>
  </si>
  <si>
    <t>CLEANING STATUS</t>
  </si>
  <si>
    <t>Quality Check</t>
  </si>
  <si>
    <t>Result</t>
  </si>
  <si>
    <t>Item</t>
  </si>
  <si>
    <t>Status</t>
  </si>
  <si>
    <t>Total Records</t>
  </si>
  <si>
    <t>Duplicates Removed</t>
  </si>
  <si>
    <t>Completed</t>
  </si>
  <si>
    <t>Duplicate Records</t>
  </si>
  <si>
    <t>Missing Values Handled</t>
  </si>
  <si>
    <t>Blank Rows</t>
  </si>
  <si>
    <t>Inconsistent Values Corrected</t>
  </si>
  <si>
    <t>Missing Values</t>
  </si>
  <si>
    <t>Text Cleaning</t>
  </si>
  <si>
    <t>PROPERTY ANALYSIS SUMMARY</t>
  </si>
  <si>
    <t>Metric</t>
  </si>
  <si>
    <t>Value</t>
  </si>
  <si>
    <t>Total Properties</t>
  </si>
  <si>
    <t>total price</t>
  </si>
  <si>
    <t>Average Price</t>
  </si>
  <si>
    <t>Minimum Price</t>
  </si>
  <si>
    <t>Maximum Price</t>
  </si>
  <si>
    <t>Average Size (sqm)</t>
  </si>
  <si>
    <t>Average Bedrooms</t>
  </si>
  <si>
    <t>Price Range</t>
  </si>
  <si>
    <t>2025 Properties</t>
  </si>
  <si>
    <t>2026 Properties</t>
  </si>
  <si>
    <t>Most Common Type</t>
  </si>
  <si>
    <t>Top Location</t>
  </si>
  <si>
    <t>Price_Category</t>
  </si>
  <si>
    <t>High</t>
  </si>
  <si>
    <t>Total</t>
  </si>
  <si>
    <t>SUMMARY MISSING</t>
  </si>
  <si>
    <t>Row Labels</t>
  </si>
  <si>
    <t>Count of Property_ID</t>
  </si>
  <si>
    <t>Grand Total</t>
  </si>
  <si>
    <t>Properties by Location</t>
  </si>
  <si>
    <t>Sum of Price</t>
  </si>
  <si>
    <t>Property Type Distribution</t>
  </si>
  <si>
    <t>Average Price by Location</t>
  </si>
  <si>
    <t>Average of Price</t>
  </si>
  <si>
    <t>Total Property Value by Type</t>
  </si>
  <si>
    <t>Sum of Size_Sqm</t>
  </si>
  <si>
    <t>Total Property Size by Location</t>
  </si>
  <si>
    <t>Sum of Bedrooms</t>
  </si>
  <si>
    <t>Average of Size_Sqm</t>
  </si>
  <si>
    <t>Max of Price</t>
  </si>
  <si>
    <t xml:space="preserve"> </t>
  </si>
  <si>
    <t>REAL ESTATE DASHBOARD 1 – OVERVIEW</t>
  </si>
  <si>
    <t>Summary of Properties, Types, Prices and Locations</t>
  </si>
  <si>
    <t>(blank)</t>
  </si>
  <si>
    <t>Year _Colomn</t>
  </si>
  <si>
    <t>TOTAL PROPERTIES</t>
  </si>
  <si>
    <t>TOTAL PROPERTY PRICE</t>
  </si>
  <si>
    <t>TOTAL BEDROOMS</t>
  </si>
  <si>
    <t>AVERAGE BEDROOMS</t>
  </si>
  <si>
    <t>REAL ESTATE DASHBOARD 2 – ANALYSIS</t>
  </si>
  <si>
    <t>Deeper Analysis of Price, Size, Bedrooms and Value</t>
  </si>
  <si>
    <t>AVERAGE PRICE</t>
  </si>
  <si>
    <t>AVERAGE SIZE</t>
  </si>
  <si>
    <t>HIGHEST PRICE</t>
  </si>
  <si>
    <t xml:space="preserve">           FINDINGS &amp; RECOMMENDATIONS</t>
  </si>
  <si>
    <t>Project: Real Estate Property Data Analysis   |   Dataset: Real Estate Property Data   |   Records analyzed: 292 (after cleaning)</t>
  </si>
  <si>
    <t>KEY FINDINGS</t>
  </si>
  <si>
    <t>RECOMMENDATIONS</t>
  </si>
  <si>
    <t>SUMMARY</t>
  </si>
  <si>
    <r>
      <t>1. Mogadishu has the highest number of properties</t>
    </r>
    <r>
      <rPr>
        <sz val="11"/>
        <color theme="1"/>
        <rFont val="Times New Roman"/>
        <family val="1"/>
      </rPr>
      <t>, with 101 listings, making it the largest market in the dataset.</t>
    </r>
  </si>
  <si>
    <r>
      <t>2. Apartment is the most common property type</t>
    </r>
    <r>
      <rPr>
        <sz val="11"/>
        <color theme="1"/>
        <rFont val="Times New Roman"/>
        <family val="1"/>
      </rPr>
      <t>, with 96 properties, followed by Houses with 59.</t>
    </r>
  </si>
  <si>
    <r>
      <t>3. Mogadishu has the highest average property price</t>
    </r>
    <r>
      <rPr>
        <sz val="11"/>
        <color theme="1"/>
        <rFont val="Times New Roman"/>
        <family val="1"/>
      </rPr>
      <t>, at about $209,588, slightly higher than Garowe at $206,754.</t>
    </r>
  </si>
  <si>
    <r>
      <t>4. Data quality improved after cleaning</t>
    </r>
    <r>
      <rPr>
        <sz val="11"/>
        <color theme="1"/>
        <rFont val="Times New Roman"/>
        <family val="1"/>
      </rPr>
      <t>; 8 duplicate records were removed and missing values were handled, leaving 292 clean records.</t>
    </r>
  </si>
  <si>
    <r>
      <t>1. Focus more on Mogadishu</t>
    </r>
    <r>
      <rPr>
        <sz val="11"/>
        <color theme="1"/>
        <rFont val="Times New Roman"/>
        <family val="1"/>
      </rPr>
      <t>, because it has the largest number of properties and strong average prices.</t>
    </r>
  </si>
  <si>
    <r>
      <t>2. Monitor the apartment market</t>
    </r>
    <r>
      <rPr>
        <sz val="11"/>
        <color theme="1"/>
        <rFont val="Times New Roman"/>
        <family val="1"/>
      </rPr>
      <t>, since apartments make up the largest share of the available properties.</t>
    </r>
  </si>
  <si>
    <r>
      <t>3. Review pricing by location</t>
    </r>
    <r>
      <rPr>
        <sz val="11"/>
        <color theme="1"/>
        <rFont val="Times New Roman"/>
        <family val="1"/>
      </rPr>
      <t>, especially in Mogadishu and Garowe, to understand why their average prices are higher.</t>
    </r>
  </si>
  <si>
    <r>
      <t>4. Keep the data regularly updated and cleaned</t>
    </r>
    <r>
      <rPr>
        <sz val="11"/>
        <color theme="1"/>
        <rFont val="Times New Roman"/>
        <family val="1"/>
      </rPr>
      <t xml:space="preserve"> to reduce missing, duplicate, and unknown information.</t>
    </r>
  </si>
  <si>
    <r>
      <t xml:space="preserve">Overall, the data shows that </t>
    </r>
    <r>
      <rPr>
        <b/>
        <sz val="11"/>
        <color theme="1"/>
        <rFont val="Times New Roman"/>
        <family val="1"/>
      </rPr>
      <t>Mogadishu</t>
    </r>
    <r>
      <rPr>
        <sz val="11"/>
        <color theme="1"/>
        <rFont val="Times New Roman"/>
        <family val="1"/>
      </rPr>
      <t xml:space="preserve"> has the strongest property market, with the most listings and high average prices.</t>
    </r>
  </si>
  <si>
    <r>
      <rPr>
        <b/>
        <sz val="11"/>
        <color theme="1"/>
        <rFont val="Times New Roman"/>
        <family val="1"/>
      </rPr>
      <t>Apartments</t>
    </r>
    <r>
      <rPr>
        <sz val="11"/>
        <color theme="1"/>
        <rFont val="Times New Roman"/>
        <family val="1"/>
      </rPr>
      <t xml:space="preserve"> are the most common property type, and the cleaned data is more reliable for analysis.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</si>
</sst>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numFmt numFmtId="165" formatCode="&quot;$&quot;#,##0.00"/>
    <numFmt numFmtId="166" formatCode="yyyy\-mm\-dd;@"/>
    <numFmt numFmtId="167" formatCode="0.0"/>
    <numFmt numFmtId="168" formatCode="&quot;$&quot;#,##0"/>
  </numFmts>
  <fonts count="27">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name val="Carlito"/>
      <charset val="134"/>
    </font>
    <font>
      <b/>
      <sz val="11"/>
      <color theme="0"/>
      <name val="Carlito"/>
      <charset val="134"/>
    </font>
    <font>
      <b/>
      <sz val="11"/>
      <color theme="1"/>
      <name val="Calibri"/>
      <charset val="134"/>
      <scheme val="minor"/>
    </font>
    <font>
      <b/>
      <sz val="18"/>
      <color theme="1"/>
      <name val="Calibri"/>
      <charset val="134"/>
      <scheme val="minor"/>
    </font>
    <font>
      <b/>
      <u/>
      <sz val="16"/>
      <color theme="1"/>
      <name val="Calibri"/>
      <charset val="134"/>
      <scheme val="minor"/>
    </font>
    <font>
      <b/>
      <u/>
      <sz val="12"/>
      <color theme="1"/>
      <name val="Calibri"/>
      <charset val="134"/>
      <scheme val="minor"/>
    </font>
    <font>
      <b/>
      <sz val="12"/>
      <color theme="1"/>
      <name val="Calibri"/>
      <charset val="134"/>
      <scheme val="minor"/>
    </font>
    <font>
      <b/>
      <sz val="16"/>
      <color theme="1"/>
      <name val="Calibri"/>
      <charset val="134"/>
      <scheme val="minor"/>
    </font>
    <font>
      <sz val="16"/>
      <color theme="1"/>
      <name val="Calibri"/>
      <charset val="134"/>
      <scheme val="minor"/>
    </font>
    <font>
      <b/>
      <sz val="14"/>
      <color theme="1"/>
      <name val="Calibri"/>
      <family val="2"/>
      <scheme val="minor"/>
    </font>
    <font>
      <b/>
      <sz val="12"/>
      <color theme="1"/>
      <name val="Calibri"/>
      <family val="2"/>
      <scheme val="minor"/>
    </font>
    <font>
      <sz val="10"/>
      <color theme="1"/>
      <name val="Calibri"/>
      <family val="2"/>
      <scheme val="minor"/>
    </font>
    <font>
      <b/>
      <sz val="11"/>
      <color theme="0"/>
      <name val="Times New Roman"/>
      <family val="1"/>
    </font>
    <font>
      <b/>
      <sz val="11"/>
      <color theme="1"/>
      <name val="Times New Roman"/>
      <family val="1"/>
    </font>
    <font>
      <b/>
      <sz val="14"/>
      <color theme="1"/>
      <name val="Times New Roman"/>
      <family val="1"/>
    </font>
    <font>
      <b/>
      <sz val="10"/>
      <color theme="0"/>
      <name val="Times New Roman"/>
      <family val="1"/>
    </font>
    <font>
      <b/>
      <sz val="16"/>
      <color theme="1"/>
      <name val="Times New Roman"/>
      <family val="1"/>
    </font>
    <font>
      <b/>
      <sz val="20"/>
      <color theme="0"/>
      <name val="Times New Roman"/>
      <family val="1"/>
    </font>
    <font>
      <b/>
      <sz val="12"/>
      <color theme="0"/>
      <name val="Times New Roman"/>
      <family val="1"/>
    </font>
    <font>
      <sz val="11"/>
      <color theme="1"/>
      <name val="Times New Roman"/>
      <family val="1"/>
    </font>
    <font>
      <sz val="26"/>
      <color theme="0"/>
      <name val="Times New Roman"/>
      <family val="1"/>
    </font>
    <font>
      <sz val="11"/>
      <color theme="0"/>
      <name val="Times New Roman"/>
      <family val="1"/>
    </font>
    <font>
      <b/>
      <sz val="14"/>
      <color rgb="FFFFFFFF"/>
      <name val="Times New Roman"/>
      <family val="1"/>
    </font>
  </fonts>
  <fills count="8">
    <fill>
      <patternFill patternType="none"/>
    </fill>
    <fill>
      <patternFill patternType="gray125"/>
    </fill>
    <fill>
      <patternFill patternType="solid">
        <fgColor rgb="FFD9EAF7"/>
        <bgColor indexed="64"/>
      </patternFill>
    </fill>
    <fill>
      <patternFill patternType="solid">
        <fgColor theme="9" tint="-0.249977111117893"/>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rgb="FF548235"/>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medium">
        <color theme="9" tint="-0.499984740745262"/>
      </left>
      <right style="medium">
        <color theme="9" tint="-0.499984740745262"/>
      </right>
      <top style="medium">
        <color theme="9" tint="-0.499984740745262"/>
      </top>
      <bottom/>
      <diagonal/>
    </border>
    <border>
      <left style="medium">
        <color theme="9" tint="-0.499984740745262"/>
      </left>
      <right style="medium">
        <color theme="9" tint="-0.499984740745262"/>
      </right>
      <top/>
      <bottom/>
      <diagonal/>
    </border>
    <border>
      <left style="medium">
        <color theme="9" tint="-0.499984740745262"/>
      </left>
      <right style="medium">
        <color theme="9" tint="-0.499984740745262"/>
      </right>
      <top/>
      <bottom style="medium">
        <color theme="9" tint="-0.499984740745262"/>
      </bottom>
      <diagonal/>
    </border>
    <border>
      <left style="thin">
        <color indexed="64"/>
      </left>
      <right style="medium">
        <color theme="9" tint="-0.499984740745262"/>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88">
    <xf numFmtId="0" fontId="0" fillId="0" borderId="0" xfId="0"/>
    <xf numFmtId="0" fontId="0" fillId="0" borderId="0" xfId="0" applyNumberFormat="1"/>
    <xf numFmtId="164" fontId="0" fillId="0" borderId="0" xfId="0" applyNumberFormat="1"/>
    <xf numFmtId="165" fontId="0" fillId="0" borderId="0" xfId="0" applyNumberFormat="1"/>
    <xf numFmtId="0" fontId="4" fillId="2" borderId="0" xfId="0" applyFont="1" applyFill="1" applyAlignment="1">
      <alignment horizontal="center" vertical="center"/>
    </xf>
    <xf numFmtId="0" fontId="5" fillId="3" borderId="0" xfId="0" applyFont="1" applyFill="1" applyBorder="1" applyAlignment="1">
      <alignment horizontal="center" vertical="center"/>
    </xf>
    <xf numFmtId="166" fontId="5" fillId="3" borderId="0" xfId="0" applyNumberFormat="1" applyFont="1" applyFill="1" applyAlignment="1">
      <alignment horizontal="right" vertical="center"/>
    </xf>
    <xf numFmtId="49" fontId="5" fillId="3" borderId="0" xfId="0" applyNumberFormat="1" applyFont="1" applyFill="1" applyAlignment="1">
      <alignment horizontal="center" vertical="center"/>
    </xf>
    <xf numFmtId="1" fontId="5" fillId="3" borderId="0" xfId="0" applyNumberFormat="1" applyFont="1" applyFill="1" applyAlignment="1">
      <alignment horizontal="center" vertical="center"/>
    </xf>
    <xf numFmtId="165" fontId="5" fillId="3" borderId="0" xfId="0" applyNumberFormat="1" applyFont="1" applyFill="1" applyAlignment="1">
      <alignment horizontal="center" vertical="center"/>
    </xf>
    <xf numFmtId="2" fontId="5" fillId="3" borderId="0" xfId="0" applyNumberFormat="1" applyFont="1" applyFill="1" applyAlignment="1">
      <alignment horizontal="center" vertical="center"/>
    </xf>
    <xf numFmtId="0" fontId="5" fillId="3" borderId="0" xfId="0" applyFont="1" applyFill="1" applyAlignment="1">
      <alignment horizontal="center" vertical="center"/>
    </xf>
    <xf numFmtId="166" fontId="0" fillId="0" borderId="0" xfId="0" applyNumberFormat="1" applyAlignment="1">
      <alignment horizontal="right"/>
    </xf>
    <xf numFmtId="49" fontId="0" fillId="0" borderId="0" xfId="0" applyNumberFormat="1"/>
    <xf numFmtId="1" fontId="0" fillId="0" borderId="0" xfId="0" applyNumberFormat="1" applyAlignment="1">
      <alignment horizontal="right"/>
    </xf>
    <xf numFmtId="2" fontId="0" fillId="0" borderId="0" xfId="0" applyNumberFormat="1"/>
    <xf numFmtId="0" fontId="0" fillId="3" borderId="0" xfId="0" applyFill="1"/>
    <xf numFmtId="0" fontId="6" fillId="3" borderId="0" xfId="0" applyFont="1" applyFill="1"/>
    <xf numFmtId="0" fontId="7" fillId="3" borderId="0" xfId="0" applyFont="1" applyFill="1" applyAlignment="1">
      <alignment horizontal="center" vertical="center"/>
    </xf>
    <xf numFmtId="0" fontId="8" fillId="0" borderId="0" xfId="0" applyFont="1"/>
    <xf numFmtId="0" fontId="9" fillId="0" borderId="0" xfId="0" applyFont="1"/>
    <xf numFmtId="0" fontId="6" fillId="0" borderId="0" xfId="0" applyFont="1" applyAlignment="1">
      <alignment horizontal="left" vertical="center" wrapText="1"/>
    </xf>
    <xf numFmtId="0" fontId="10" fillId="0" borderId="0" xfId="0" applyFont="1" applyAlignment="1">
      <alignment horizontal="left" vertical="center"/>
    </xf>
    <xf numFmtId="0" fontId="0" fillId="0" borderId="0" xfId="0" applyFont="1"/>
    <xf numFmtId="0" fontId="6" fillId="0" borderId="0" xfId="0" applyFont="1" applyAlignment="1">
      <alignment horizontal="left" vertical="center"/>
    </xf>
    <xf numFmtId="0" fontId="6" fillId="0" borderId="0" xfId="0" applyFont="1"/>
    <xf numFmtId="0" fontId="11" fillId="3" borderId="0" xfId="0" applyFont="1" applyFill="1" applyAlignment="1">
      <alignment horizontal="right"/>
    </xf>
    <xf numFmtId="0" fontId="0" fillId="0" borderId="0" xfId="0" applyFill="1"/>
    <xf numFmtId="0" fontId="11" fillId="0" borderId="0" xfId="0" applyFont="1" applyFill="1"/>
    <xf numFmtId="0" fontId="12" fillId="0" borderId="0" xfId="0" applyFont="1" applyFill="1"/>
    <xf numFmtId="0" fontId="6" fillId="0" borderId="0" xfId="0" applyFont="1" applyFill="1" applyAlignment="1">
      <alignment horizontal="left" vertical="center" wrapText="1"/>
    </xf>
    <xf numFmtId="0" fontId="6" fillId="0" borderId="0" xfId="0" applyFont="1" applyFill="1"/>
    <xf numFmtId="1" fontId="0" fillId="0" borderId="0" xfId="0" applyNumberFormat="1"/>
    <xf numFmtId="165" fontId="0" fillId="4" borderId="2" xfId="0" applyNumberFormat="1" applyFont="1" applyFill="1" applyBorder="1"/>
    <xf numFmtId="1" fontId="0" fillId="4" borderId="2" xfId="0" applyNumberFormat="1" applyFont="1" applyFill="1" applyBorder="1"/>
    <xf numFmtId="0" fontId="0" fillId="0" borderId="0" xfId="0" applyAlignment="1">
      <alignment horizontal="right" vertical="center" wrapText="1"/>
    </xf>
    <xf numFmtId="0" fontId="0" fillId="0" borderId="0" xfId="0" applyAlignment="1">
      <alignment vertical="center" wrapText="1"/>
    </xf>
    <xf numFmtId="0" fontId="11" fillId="3" borderId="0" xfId="0" applyFont="1" applyFill="1" applyAlignment="1">
      <alignment horizontal="right" vertical="center"/>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5" borderId="4" xfId="0" applyFont="1" applyFill="1" applyBorder="1" applyAlignment="1">
      <alignment vertical="center" wrapText="1"/>
    </xf>
    <xf numFmtId="165" fontId="0" fillId="5" borderId="2" xfId="0" applyNumberFormat="1" applyFont="1" applyFill="1" applyBorder="1" applyAlignment="1">
      <alignment horizontal="left" vertical="center" wrapText="1"/>
    </xf>
    <xf numFmtId="1" fontId="0" fillId="5" borderId="2" xfId="0" applyNumberFormat="1" applyFont="1" applyFill="1" applyBorder="1" applyAlignment="1">
      <alignment horizontal="right" vertical="center" wrapText="1"/>
    </xf>
    <xf numFmtId="1" fontId="0" fillId="5" borderId="3" xfId="0" applyNumberFormat="1" applyFont="1" applyFill="1" applyBorder="1"/>
    <xf numFmtId="0" fontId="0" fillId="0" borderId="0" xfId="0" applyAlignment="1">
      <alignment horizontal="left"/>
    </xf>
    <xf numFmtId="0" fontId="0" fillId="0" borderId="0" xfId="0" pivotButton="1"/>
    <xf numFmtId="0" fontId="13" fillId="3" borderId="0" xfId="0" applyFont="1" applyFill="1"/>
    <xf numFmtId="0" fontId="14" fillId="0" borderId="0" xfId="0" applyFont="1"/>
    <xf numFmtId="0" fontId="2" fillId="0" borderId="0" xfId="0" applyFont="1"/>
    <xf numFmtId="0" fontId="15" fillId="0" borderId="0" xfId="0" applyFont="1"/>
    <xf numFmtId="167" fontId="0" fillId="0" borderId="0" xfId="0" applyNumberFormat="1"/>
    <xf numFmtId="168" fontId="0" fillId="0" borderId="0" xfId="0" applyNumberFormat="1"/>
    <xf numFmtId="0" fontId="0" fillId="6" borderId="0" xfId="0" applyFill="1"/>
    <xf numFmtId="14" fontId="0" fillId="0" borderId="0" xfId="0" applyNumberFormat="1" applyAlignment="1">
      <alignment horizontal="left"/>
    </xf>
    <xf numFmtId="0" fontId="16" fillId="3" borderId="5" xfId="0" applyFont="1" applyFill="1" applyBorder="1"/>
    <xf numFmtId="0" fontId="17" fillId="0" borderId="6" xfId="0" applyFont="1" applyBorder="1"/>
    <xf numFmtId="0" fontId="18" fillId="0" borderId="7" xfId="0" applyFont="1" applyBorder="1" applyAlignment="1">
      <alignment horizontal="center" vertical="center"/>
    </xf>
    <xf numFmtId="0" fontId="19" fillId="3" borderId="5" xfId="0" applyFont="1" applyFill="1" applyBorder="1"/>
    <xf numFmtId="44" fontId="18" fillId="0" borderId="7" xfId="1" applyFont="1" applyBorder="1" applyAlignment="1">
      <alignment horizontal="center" vertical="center"/>
    </xf>
    <xf numFmtId="1" fontId="20" fillId="0" borderId="7" xfId="0" applyNumberFormat="1" applyFont="1" applyBorder="1" applyAlignment="1">
      <alignment horizontal="center" vertical="center"/>
    </xf>
    <xf numFmtId="0" fontId="16" fillId="3" borderId="8" xfId="0" applyFont="1" applyFill="1" applyBorder="1"/>
    <xf numFmtId="0" fontId="17" fillId="0" borderId="0" xfId="0" applyFont="1" applyFill="1" applyBorder="1"/>
    <xf numFmtId="0" fontId="0" fillId="0" borderId="0" xfId="0" applyFill="1" applyBorder="1"/>
    <xf numFmtId="0" fontId="16" fillId="0" borderId="0" xfId="0" applyFont="1" applyFill="1" applyBorder="1"/>
    <xf numFmtId="0" fontId="17" fillId="0" borderId="9" xfId="0" applyFont="1" applyBorder="1"/>
    <xf numFmtId="1" fontId="20" fillId="0" borderId="10" xfId="0" applyNumberFormat="1" applyFont="1" applyBorder="1" applyAlignment="1">
      <alignment horizontal="center" vertical="center"/>
    </xf>
    <xf numFmtId="0" fontId="21" fillId="6" borderId="0" xfId="0" applyFont="1" applyFill="1"/>
    <xf numFmtId="0" fontId="3" fillId="6" borderId="0" xfId="0" applyFont="1" applyFill="1"/>
    <xf numFmtId="0" fontId="22" fillId="6" borderId="0" xfId="0" applyFont="1" applyFill="1"/>
    <xf numFmtId="0" fontId="20" fillId="0" borderId="7" xfId="0" applyFont="1" applyBorder="1" applyAlignment="1">
      <alignment horizontal="center" vertical="center"/>
    </xf>
    <xf numFmtId="0" fontId="23" fillId="6" borderId="0" xfId="0" applyFont="1" applyFill="1"/>
    <xf numFmtId="0" fontId="24" fillId="6" borderId="0" xfId="0" applyFont="1" applyFill="1" applyAlignment="1">
      <alignment horizontal="left" vertical="center"/>
    </xf>
    <xf numFmtId="0" fontId="25" fillId="6" borderId="0" xfId="0" applyFont="1" applyFill="1" applyAlignment="1">
      <alignment horizontal="left" vertical="center"/>
    </xf>
    <xf numFmtId="0" fontId="23" fillId="0" borderId="0" xfId="0" applyFont="1" applyFill="1"/>
    <xf numFmtId="0" fontId="25" fillId="0" borderId="0" xfId="0" applyFont="1" applyFill="1" applyAlignment="1">
      <alignment horizontal="left" vertical="center"/>
    </xf>
    <xf numFmtId="0" fontId="0" fillId="0" borderId="0" xfId="0" applyAlignment="1">
      <alignment horizontal="left" vertical="top"/>
    </xf>
    <xf numFmtId="0" fontId="23" fillId="0" borderId="0" xfId="0" applyFont="1"/>
    <xf numFmtId="0" fontId="17" fillId="0" borderId="0" xfId="0" applyFont="1"/>
    <xf numFmtId="0" fontId="23" fillId="0" borderId="0" xfId="0" applyFont="1" applyAlignment="1">
      <alignment horizontal="left" vertical="top"/>
    </xf>
    <xf numFmtId="0" fontId="26" fillId="0" borderId="0" xfId="0" applyFont="1" applyFill="1" applyAlignment="1">
      <alignment horizontal="left" vertical="center" indent="1"/>
    </xf>
    <xf numFmtId="0" fontId="23" fillId="0" borderId="0" xfId="0" applyFont="1" applyFill="1"/>
    <xf numFmtId="0" fontId="26" fillId="7" borderId="0" xfId="0" applyFont="1" applyFill="1" applyAlignment="1">
      <alignment horizontal="left" vertical="center" indent="1"/>
    </xf>
    <xf numFmtId="0" fontId="23" fillId="0" borderId="0" xfId="0" applyFont="1"/>
    <xf numFmtId="0" fontId="26" fillId="3" borderId="0" xfId="0" applyFont="1" applyFill="1" applyAlignment="1">
      <alignment horizontal="left" vertical="center" indent="1"/>
    </xf>
    <xf numFmtId="0" fontId="23" fillId="3" borderId="0" xfId="0" applyFont="1" applyFill="1"/>
    <xf numFmtId="0" fontId="17" fillId="0" borderId="0" xfId="0" applyFont="1" applyBorder="1"/>
    <xf numFmtId="1" fontId="20" fillId="0" borderId="0" xfId="0" applyNumberFormat="1" applyFont="1" applyBorder="1" applyAlignment="1">
      <alignment horizontal="center" vertical="center"/>
    </xf>
    <xf numFmtId="0" fontId="2" fillId="0" borderId="0" xfId="0" applyFont="1" applyFill="1"/>
  </cellXfs>
  <cellStyles count="2">
    <cellStyle name="Currency" xfId="1" builtinId="4"/>
    <cellStyle name="Normal" xfId="0" builtinId="0"/>
  </cellStyles>
  <dxfs count="85">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numFmt numFmtId="168" formatCode="&quot;$&quot;#,##0"/>
    </dxf>
    <dxf>
      <numFmt numFmtId="167" formatCode="0.0"/>
    </dxf>
    <dxf>
      <numFmt numFmtId="168" formatCode="&quot;$&quot;#,##0"/>
    </dxf>
    <dxf>
      <font>
        <b/>
      </font>
      <fill>
        <patternFill patternType="none">
          <fgColor indexed="64"/>
          <bgColor indexed="65"/>
        </patternFill>
      </fill>
    </dxf>
    <dxf>
      <numFmt numFmtId="168" formatCode="&quot;$&quot;#,##0"/>
    </dxf>
    <dxf>
      <numFmt numFmtId="167" formatCode="0.0"/>
    </dxf>
    <dxf>
      <numFmt numFmtId="168" formatCode="&quot;$&quot;#,##0"/>
    </dxf>
    <dxf>
      <numFmt numFmtId="168" formatCode="&quot;$&quot;#,##0"/>
    </dxf>
    <dxf>
      <numFmt numFmtId="168" formatCode="&quot;$&quot;#,##0"/>
    </dxf>
    <dxf>
      <numFmt numFmtId="167" formatCode="0.0"/>
    </dxf>
    <dxf>
      <numFmt numFmtId="165" formatCode="&quot;$&quot;#,##0.00"/>
    </dxf>
    <dxf>
      <font>
        <b/>
      </font>
    </dxf>
    <dxf>
      <font>
        <b/>
        <i val="0"/>
        <strike val="0"/>
        <u val="none"/>
        <sz val="11"/>
        <color theme="1"/>
        <name val="Calibri"/>
        <family val="2"/>
        <scheme val="none"/>
      </font>
    </dxf>
    <dxf>
      <font>
        <b/>
        <i val="0"/>
        <strike val="0"/>
        <u val="none"/>
        <sz val="11"/>
        <color theme="1"/>
        <name val="Calibri"/>
        <family val="2"/>
        <scheme val="none"/>
      </font>
    </dxf>
    <dxf>
      <font>
        <b/>
        <i val="0"/>
        <strike val="0"/>
        <u val="none"/>
        <sz val="11"/>
        <color theme="1"/>
        <name val="Calibri"/>
        <family val="2"/>
        <scheme val="none"/>
      </font>
    </dxf>
    <dxf>
      <numFmt numFmtId="0" formatCode="General"/>
    </dxf>
    <dxf>
      <numFmt numFmtId="0" formatCode="General"/>
    </dxf>
    <dxf>
      <numFmt numFmtId="0" formatCode="General"/>
    </dxf>
    <dxf>
      <numFmt numFmtId="0" formatCode="General"/>
    </dxf>
    <dxf>
      <numFmt numFmtId="2" formatCode="0.00"/>
    </dxf>
    <dxf>
      <numFmt numFmtId="1" formatCode="0"/>
      <alignment horizontal="right"/>
    </dxf>
    <dxf>
      <numFmt numFmtId="165" formatCode="&quot;$&quot;#,##0.00"/>
    </dxf>
    <dxf>
      <numFmt numFmtId="165" formatCode="&quot;$&quot;#,##0.00"/>
    </dxf>
    <dxf>
      <numFmt numFmtId="1" formatCode="0"/>
    </dxf>
    <dxf>
      <numFmt numFmtId="1" formatCode="0"/>
    </dxf>
    <dxf>
      <numFmt numFmtId="30" formatCode="@"/>
    </dxf>
    <dxf>
      <numFmt numFmtId="30" formatCode="@"/>
    </dxf>
    <dxf>
      <numFmt numFmtId="166" formatCode="yyyy\-mm\-dd;@"/>
      <alignment horizontal="right"/>
    </dxf>
    <dxf>
      <numFmt numFmtId="30" formatCode="@"/>
    </dxf>
    <dxf>
      <numFmt numFmtId="165" formatCode="&quot;$&quot;#,##0.00"/>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Total Properties</a:t>
            </a:r>
            <a:r>
              <a:rPr lang="en-US" sz="1200" b="1" baseline="0">
                <a:solidFill>
                  <a:schemeClr val="accent6">
                    <a:lumMod val="50000"/>
                  </a:schemeClr>
                </a:solidFill>
              </a:rPr>
              <a: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PivotTables!$A$4:$A$6</c:f>
              <c:strCache>
                <c:ptCount val="2"/>
                <c:pt idx="0">
                  <c:v>Hargeisa</c:v>
                </c:pt>
                <c:pt idx="1">
                  <c:v>Mogadishu</c:v>
                </c:pt>
              </c:strCache>
            </c:strRef>
          </c:cat>
          <c:val>
            <c:numRef>
              <c:f>PivotTables!$B$4:$B$6</c:f>
              <c:numCache>
                <c:formatCode>General</c:formatCode>
                <c:ptCount val="2"/>
                <c:pt idx="0">
                  <c:v>4</c:v>
                </c:pt>
                <c:pt idx="1">
                  <c:v>8</c:v>
                </c:pt>
              </c:numCache>
            </c:numRef>
          </c:val>
          <c:extLst>
            <c:ext xmlns:c16="http://schemas.microsoft.com/office/drawing/2014/chart" uri="{C3380CC4-5D6E-409C-BE32-E72D297353CC}">
              <c16:uniqueId val="{00000000-DF0D-4194-A976-5CF52CCEAC07}"/>
            </c:ext>
          </c:extLst>
        </c:ser>
        <c:dLbls>
          <c:dLblPos val="outEnd"/>
          <c:showLegendKey val="0"/>
          <c:showVal val="1"/>
          <c:showCatName val="0"/>
          <c:showSerName val="0"/>
          <c:showPercent val="0"/>
          <c:showBubbleSize val="0"/>
        </c:dLbls>
        <c:gapWidth val="219"/>
        <c:overlap val="-27"/>
        <c:axId val="970377007"/>
        <c:axId val="782115391"/>
      </c:barChart>
      <c:catAx>
        <c:axId val="970377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15391"/>
        <c:crosses val="autoZero"/>
        <c:auto val="1"/>
        <c:lblAlgn val="ctr"/>
        <c:lblOffset val="100"/>
        <c:noMultiLvlLbl val="0"/>
      </c:catAx>
      <c:valAx>
        <c:axId val="7821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7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Value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50000"/>
            </a:schemeClr>
          </a:solidFill>
          <a:ln>
            <a:noFill/>
          </a:ln>
          <a:effectLst/>
        </c:spPr>
      </c:pivotFmt>
      <c:pivotFmt>
        <c:idx val="3"/>
        <c:spPr>
          <a:solidFill>
            <a:schemeClr val="accent6">
              <a:shade val="90000"/>
            </a:schemeClr>
          </a:solidFill>
          <a:ln>
            <a:noFill/>
          </a:ln>
          <a:effectLst/>
        </c:spPr>
      </c:pivotFmt>
      <c:pivotFmt>
        <c:idx val="4"/>
        <c:spPr>
          <a:solidFill>
            <a:schemeClr val="accent6"/>
          </a:solidFill>
          <a:ln>
            <a:noFill/>
          </a:ln>
          <a:effectLst/>
        </c:spPr>
      </c:pivotFmt>
      <c:pivotFmt>
        <c:idx val="5"/>
        <c:spPr>
          <a:solidFill>
            <a:schemeClr val="accent6">
              <a:tint val="70000"/>
            </a:schemeClr>
          </a:solidFill>
          <a:ln>
            <a:noFill/>
          </a:ln>
          <a:effectLst/>
        </c:spPr>
      </c:pivotFmt>
      <c:pivotFmt>
        <c:idx val="6"/>
        <c:spPr>
          <a:solidFill>
            <a:schemeClr val="accent6"/>
          </a:solidFill>
          <a:ln>
            <a:noFill/>
          </a:ln>
          <a:effectLst/>
        </c:spPr>
      </c:pivotFmt>
    </c:pivotFmts>
    <c:plotArea>
      <c:layout/>
      <c:pieChart>
        <c:varyColors val="1"/>
        <c:ser>
          <c:idx val="0"/>
          <c:order val="0"/>
          <c:tx>
            <c:strRef>
              <c:f>PivotTables!$B$14</c:f>
              <c:strCache>
                <c:ptCount val="1"/>
                <c:pt idx="0">
                  <c:v>Total</c:v>
                </c:pt>
              </c:strCache>
            </c:strRef>
          </c:tx>
          <c:dPt>
            <c:idx val="0"/>
            <c:bubble3D val="0"/>
            <c:spPr>
              <a:solidFill>
                <a:schemeClr val="accent6">
                  <a:tint val="70000"/>
                </a:schemeClr>
              </a:solidFill>
              <a:ln>
                <a:noFill/>
              </a:ln>
              <a:effectLst/>
            </c:spPr>
            <c:extLst>
              <c:ext xmlns:c16="http://schemas.microsoft.com/office/drawing/2014/chart" uri="{C3380CC4-5D6E-409C-BE32-E72D297353CC}">
                <c16:uniqueId val="{00000001-985B-4D3A-B3CE-4825BF07AE86}"/>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1-FA49-4D56-AA40-6A6034DDEE6F}"/>
              </c:ext>
            </c:extLst>
          </c:dPt>
          <c:dPt>
            <c:idx val="2"/>
            <c:bubble3D val="0"/>
            <c:spPr>
              <a:solidFill>
                <a:schemeClr val="accent6">
                  <a:tint val="60000"/>
                </a:schemeClr>
              </a:solidFill>
              <a:ln>
                <a:noFill/>
              </a:ln>
              <a:effectLst/>
            </c:spPr>
            <c:extLst>
              <c:ext xmlns:c16="http://schemas.microsoft.com/office/drawing/2014/chart" uri="{C3380CC4-5D6E-409C-BE32-E72D297353CC}">
                <c16:uniqueId val="{00000005-985B-4D3A-B3CE-4825BF07AE86}"/>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985B-4D3A-B3CE-4825BF07AE86}"/>
              </c:ext>
            </c:extLst>
          </c:dPt>
          <c:dPt>
            <c:idx val="4"/>
            <c:bubble3D val="0"/>
            <c:spPr>
              <a:solidFill>
                <a:schemeClr val="accent6">
                  <a:tint val="20000"/>
                </a:schemeClr>
              </a:solidFill>
              <a:ln>
                <a:noFill/>
              </a:ln>
              <a:effectLst/>
            </c:spPr>
            <c:extLst>
              <c:ext xmlns:c16="http://schemas.microsoft.com/office/drawing/2014/chart" uri="{C3380CC4-5D6E-409C-BE32-E72D297353CC}">
                <c16:uniqueId val="{00000009-985B-4D3A-B3CE-4825BF07AE86}"/>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985B-4D3A-B3CE-4825BF07AE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PivotTables!$A$15:$A$16</c:f>
              <c:strCache>
                <c:ptCount val="1"/>
                <c:pt idx="0">
                  <c:v>Unknown</c:v>
                </c:pt>
              </c:strCache>
            </c:strRef>
          </c:cat>
          <c:val>
            <c:numRef>
              <c:f>PivotTables!$B$15:$B$16</c:f>
              <c:numCache>
                <c:formatCode>General</c:formatCode>
                <c:ptCount val="1"/>
                <c:pt idx="0">
                  <c:v>2496165.92</c:v>
                </c:pt>
              </c:numCache>
            </c:numRef>
          </c:val>
          <c:extLst>
            <c:ext xmlns:c16="http://schemas.microsoft.com/office/drawing/2014/chart" uri="{C3380CC4-5D6E-409C-BE32-E72D297353CC}">
              <c16:uniqueId val="{00000000-FA49-4D56-AA40-6A6034DDEE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Propert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PivotTables!$A$27:$A$29</c:f>
              <c:strCache>
                <c:ptCount val="2"/>
                <c:pt idx="0">
                  <c:v>Hargeisa</c:v>
                </c:pt>
                <c:pt idx="1">
                  <c:v>Mogadishu</c:v>
                </c:pt>
              </c:strCache>
            </c:strRef>
          </c:cat>
          <c:val>
            <c:numRef>
              <c:f>PivotTables!$B$27:$B$29</c:f>
              <c:numCache>
                <c:formatCode>"$"#,##0</c:formatCode>
                <c:ptCount val="2"/>
                <c:pt idx="0">
                  <c:v>165454.05249999999</c:v>
                </c:pt>
                <c:pt idx="1">
                  <c:v>229293.71374999997</c:v>
                </c:pt>
              </c:numCache>
            </c:numRef>
          </c:val>
          <c:extLst>
            <c:ext xmlns:c16="http://schemas.microsoft.com/office/drawing/2014/chart" uri="{C3380CC4-5D6E-409C-BE32-E72D297353CC}">
              <c16:uniqueId val="{00000000-7377-47EE-A481-9808440DE1B7}"/>
            </c:ext>
          </c:extLst>
        </c:ser>
        <c:dLbls>
          <c:dLblPos val="outEnd"/>
          <c:showLegendKey val="0"/>
          <c:showVal val="1"/>
          <c:showCatName val="0"/>
          <c:showSerName val="0"/>
          <c:showPercent val="0"/>
          <c:showBubbleSize val="0"/>
        </c:dLbls>
        <c:gapWidth val="219"/>
        <c:overlap val="-27"/>
        <c:axId val="985197455"/>
        <c:axId val="1142324671"/>
      </c:barChart>
      <c:catAx>
        <c:axId val="98519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4671"/>
        <c:crosses val="autoZero"/>
        <c:auto val="1"/>
        <c:lblAlgn val="ctr"/>
        <c:lblOffset val="100"/>
        <c:noMultiLvlLbl val="0"/>
      </c:catAx>
      <c:valAx>
        <c:axId val="114232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9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Property</a:t>
            </a:r>
            <a:r>
              <a:rPr lang="en-US" sz="1200" b="1" baseline="0">
                <a:solidFill>
                  <a:schemeClr val="accent6">
                    <a:lumMod val="50000"/>
                  </a:schemeClr>
                </a:solidFill>
              </a:rPr>
              <a:t> Type Distribution</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50000"/>
            </a:schemeClr>
          </a:solidFill>
          <a:ln>
            <a:noFill/>
          </a:ln>
          <a:effectLst/>
        </c:spPr>
      </c:pivotFmt>
      <c:pivotFmt>
        <c:idx val="2"/>
        <c:spPr>
          <a:solidFill>
            <a:schemeClr val="accent6">
              <a:shade val="70000"/>
            </a:schemeClr>
          </a:solidFill>
          <a:ln>
            <a:noFill/>
          </a:ln>
          <a:effectLst/>
        </c:spPr>
      </c:pivotFmt>
      <c:pivotFmt>
        <c:idx val="3"/>
        <c:spPr>
          <a:solidFill>
            <a:schemeClr val="accent6">
              <a:shade val="90000"/>
            </a:schemeClr>
          </a:solidFill>
          <a:ln>
            <a:noFill/>
          </a:ln>
          <a:effectLst/>
        </c:spPr>
      </c:pivotFmt>
      <c:pivotFmt>
        <c:idx val="4"/>
        <c:spPr>
          <a:solidFill>
            <a:schemeClr val="accent6"/>
          </a:solidFill>
          <a:ln>
            <a:noFill/>
          </a:ln>
          <a:effectLst/>
        </c:spPr>
      </c:pivotFmt>
      <c:pivotFmt>
        <c:idx val="5"/>
        <c:spPr>
          <a:solidFill>
            <a:schemeClr val="accent6">
              <a:tint val="70000"/>
            </a:schemeClr>
          </a:solidFill>
          <a:ln>
            <a:noFill/>
          </a:ln>
          <a:effectLst/>
        </c:spPr>
      </c:pivotFmt>
      <c:pivotFmt>
        <c:idx val="6"/>
        <c:spPr>
          <a:solidFill>
            <a:schemeClr val="accent6"/>
          </a:solidFill>
          <a:ln>
            <a:noFill/>
          </a:ln>
          <a:effectLst/>
        </c:spPr>
      </c:pivotFmt>
    </c:pivotFmts>
    <c:plotArea>
      <c:layout/>
      <c:doughnutChart>
        <c:varyColors val="1"/>
        <c:ser>
          <c:idx val="0"/>
          <c:order val="0"/>
          <c:tx>
            <c:strRef>
              <c:f>PivotTables!$B$39</c:f>
              <c:strCache>
                <c:ptCount val="1"/>
                <c:pt idx="0">
                  <c:v>Total</c:v>
                </c:pt>
              </c:strCache>
            </c:strRef>
          </c:tx>
          <c:dPt>
            <c:idx val="0"/>
            <c:bubble3D val="0"/>
            <c:spPr>
              <a:solidFill>
                <a:schemeClr val="accent6">
                  <a:tint val="70000"/>
                </a:schemeClr>
              </a:solidFill>
              <a:ln>
                <a:noFill/>
              </a:ln>
              <a:effectLst/>
            </c:spPr>
            <c:extLst>
              <c:ext xmlns:c16="http://schemas.microsoft.com/office/drawing/2014/chart" uri="{C3380CC4-5D6E-409C-BE32-E72D297353CC}">
                <c16:uniqueId val="{00000001-9C0C-4E4C-B2F5-BF4C36581DC9}"/>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3-9C0C-4E4C-B2F5-BF4C36581DC9}"/>
              </c:ext>
            </c:extLst>
          </c:dPt>
          <c:dPt>
            <c:idx val="2"/>
            <c:bubble3D val="0"/>
            <c:spPr>
              <a:solidFill>
                <a:schemeClr val="accent6">
                  <a:tint val="60000"/>
                </a:schemeClr>
              </a:solidFill>
              <a:ln>
                <a:noFill/>
              </a:ln>
              <a:effectLst/>
            </c:spPr>
            <c:extLst>
              <c:ext xmlns:c16="http://schemas.microsoft.com/office/drawing/2014/chart" uri="{C3380CC4-5D6E-409C-BE32-E72D297353CC}">
                <c16:uniqueId val="{00000005-9C0C-4E4C-B2F5-BF4C36581DC9}"/>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9C0C-4E4C-B2F5-BF4C36581DC9}"/>
              </c:ext>
            </c:extLst>
          </c:dPt>
          <c:dPt>
            <c:idx val="4"/>
            <c:bubble3D val="0"/>
            <c:spPr>
              <a:solidFill>
                <a:schemeClr val="accent6">
                  <a:tint val="20000"/>
                </a:schemeClr>
              </a:solidFill>
              <a:ln>
                <a:noFill/>
              </a:ln>
              <a:effectLst/>
            </c:spPr>
            <c:extLst>
              <c:ext xmlns:c16="http://schemas.microsoft.com/office/drawing/2014/chart" uri="{C3380CC4-5D6E-409C-BE32-E72D297353CC}">
                <c16:uniqueId val="{00000009-9C0C-4E4C-B2F5-BF4C36581DC9}"/>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9C0C-4E4C-B2F5-BF4C36581D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PivotTables!$A$40:$A$41</c:f>
              <c:strCache>
                <c:ptCount val="1"/>
                <c:pt idx="0">
                  <c:v>Unknown</c:v>
                </c:pt>
              </c:strCache>
            </c:strRef>
          </c:cat>
          <c:val>
            <c:numRef>
              <c:f>PivotTables!$B$40:$B$41</c:f>
              <c:numCache>
                <c:formatCode>General</c:formatCode>
                <c:ptCount val="1"/>
                <c:pt idx="0">
                  <c:v>12</c:v>
                </c:pt>
              </c:numCache>
            </c:numRef>
          </c:val>
          <c:extLst>
            <c:ext xmlns:c16="http://schemas.microsoft.com/office/drawing/2014/chart" uri="{C3380CC4-5D6E-409C-BE32-E72D297353CC}">
              <c16:uniqueId val="{00000000-0B55-4670-9530-3A46048F83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Size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PivotTables!$B$50</c:f>
              <c:strCache>
                <c:ptCount val="1"/>
                <c:pt idx="0">
                  <c:v>Total</c:v>
                </c:pt>
              </c:strCache>
            </c:strRef>
          </c:tx>
          <c:spPr>
            <a:solidFill>
              <a:schemeClr val="accent6">
                <a:lumMod val="50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PivotTables!$A$51:$A$53</c:f>
              <c:strCache>
                <c:ptCount val="2"/>
                <c:pt idx="0">
                  <c:v>Hargeisa</c:v>
                </c:pt>
                <c:pt idx="1">
                  <c:v>Mogadishu</c:v>
                </c:pt>
              </c:strCache>
            </c:strRef>
          </c:cat>
          <c:val>
            <c:numRef>
              <c:f>PivotTables!$B$51:$B$53</c:f>
              <c:numCache>
                <c:formatCode>General</c:formatCode>
                <c:ptCount val="2"/>
                <c:pt idx="0">
                  <c:v>1481</c:v>
                </c:pt>
                <c:pt idx="1">
                  <c:v>2384</c:v>
                </c:pt>
              </c:numCache>
            </c:numRef>
          </c:val>
          <c:extLst>
            <c:ext xmlns:c16="http://schemas.microsoft.com/office/drawing/2014/chart" uri="{C3380CC4-5D6E-409C-BE32-E72D297353CC}">
              <c16:uniqueId val="{00000000-3416-469E-ABFB-FB7DEE66A149}"/>
            </c:ext>
          </c:extLst>
        </c:ser>
        <c:dLbls>
          <c:dLblPos val="outEnd"/>
          <c:showLegendKey val="0"/>
          <c:showVal val="1"/>
          <c:showCatName val="0"/>
          <c:showSerName val="0"/>
          <c:showPercent val="0"/>
          <c:showBubbleSize val="0"/>
        </c:dLbls>
        <c:gapWidth val="219"/>
        <c:overlap val="-27"/>
        <c:axId val="898556047"/>
        <c:axId val="1142279743"/>
      </c:barChart>
      <c:catAx>
        <c:axId val="8985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79743"/>
        <c:crosses val="autoZero"/>
        <c:auto val="1"/>
        <c:lblAlgn val="ctr"/>
        <c:lblOffset val="100"/>
        <c:noMultiLvlLbl val="0"/>
      </c:catAx>
      <c:valAx>
        <c:axId val="11422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Bedrooms By</a:t>
            </a:r>
            <a:r>
              <a:rPr lang="en-US" sz="1100" b="1" baseline="0">
                <a:solidFill>
                  <a:schemeClr val="accent6">
                    <a:lumMod val="50000"/>
                  </a:schemeClr>
                </a:solidFill>
              </a:rPr>
              <a:t>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PivotTables!$B$63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PivotTables!$A$64:$A$66</c:f>
              <c:strCache>
                <c:ptCount val="2"/>
                <c:pt idx="0">
                  <c:v>Hargeisa</c:v>
                </c:pt>
                <c:pt idx="1">
                  <c:v>Mogadishu</c:v>
                </c:pt>
              </c:strCache>
            </c:strRef>
          </c:cat>
          <c:val>
            <c:numRef>
              <c:f>PivotTables!$B$64:$B$66</c:f>
              <c:numCache>
                <c:formatCode>General</c:formatCode>
                <c:ptCount val="2"/>
                <c:pt idx="0">
                  <c:v>11</c:v>
                </c:pt>
                <c:pt idx="1">
                  <c:v>20</c:v>
                </c:pt>
              </c:numCache>
            </c:numRef>
          </c:val>
          <c:extLst>
            <c:ext xmlns:c16="http://schemas.microsoft.com/office/drawing/2014/chart" uri="{C3380CC4-5D6E-409C-BE32-E72D297353CC}">
              <c16:uniqueId val="{00000000-E527-4D1A-A0F8-9366A5530F21}"/>
            </c:ext>
          </c:extLst>
        </c:ser>
        <c:dLbls>
          <c:dLblPos val="outEnd"/>
          <c:showLegendKey val="0"/>
          <c:showVal val="1"/>
          <c:showCatName val="0"/>
          <c:showSerName val="0"/>
          <c:showPercent val="0"/>
          <c:showBubbleSize val="0"/>
        </c:dLbls>
        <c:gapWidth val="219"/>
        <c:axId val="978560207"/>
        <c:axId val="1142320095"/>
      </c:barChart>
      <c:catAx>
        <c:axId val="97856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0095"/>
        <c:crosses val="autoZero"/>
        <c:auto val="1"/>
        <c:lblAlgn val="ctr"/>
        <c:lblOffset val="100"/>
        <c:noMultiLvlLbl val="0"/>
      </c:catAx>
      <c:valAx>
        <c:axId val="114232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6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Size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s>
    <c:plotArea>
      <c:layout/>
      <c:barChart>
        <c:barDir val="col"/>
        <c:grouping val="clustered"/>
        <c:varyColors val="0"/>
        <c:ser>
          <c:idx val="0"/>
          <c:order val="0"/>
          <c:tx>
            <c:strRef>
              <c:f>PivotTables!$B$81</c:f>
              <c:strCache>
                <c:ptCount val="1"/>
                <c:pt idx="0">
                  <c:v>Total</c:v>
                </c:pt>
              </c:strCache>
            </c:strRef>
          </c:tx>
          <c:spPr>
            <a:solidFill>
              <a:schemeClr val="accent6">
                <a:lumMod val="50000"/>
              </a:schemeClr>
            </a:solidFill>
            <a:ln>
              <a:noFill/>
            </a:ln>
            <a:effectLst/>
          </c:spPr>
          <c:invertIfNegative val="0"/>
          <c:cat>
            <c:strRef>
              <c:f>PivotTables!$A$82:$A$84</c:f>
              <c:strCache>
                <c:ptCount val="2"/>
                <c:pt idx="0">
                  <c:v>Hargeisa</c:v>
                </c:pt>
                <c:pt idx="1">
                  <c:v>Mogadishu</c:v>
                </c:pt>
              </c:strCache>
            </c:strRef>
          </c:cat>
          <c:val>
            <c:numRef>
              <c:f>PivotTables!$B$82:$B$84</c:f>
              <c:numCache>
                <c:formatCode>0.0</c:formatCode>
                <c:ptCount val="2"/>
                <c:pt idx="0">
                  <c:v>370.25</c:v>
                </c:pt>
                <c:pt idx="1">
                  <c:v>298</c:v>
                </c:pt>
              </c:numCache>
            </c:numRef>
          </c:val>
          <c:extLst>
            <c:ext xmlns:c16="http://schemas.microsoft.com/office/drawing/2014/chart" uri="{C3380CC4-5D6E-409C-BE32-E72D297353CC}">
              <c16:uniqueId val="{00000000-DEE2-4B34-918B-1C1692E77AB8}"/>
            </c:ext>
          </c:extLst>
        </c:ser>
        <c:dLbls>
          <c:showLegendKey val="0"/>
          <c:showVal val="0"/>
          <c:showCatName val="0"/>
          <c:showSerName val="0"/>
          <c:showPercent val="0"/>
          <c:showBubbleSize val="0"/>
        </c:dLbls>
        <c:gapWidth val="219"/>
        <c:overlap val="-27"/>
        <c:axId val="1143840671"/>
        <c:axId val="1142315103"/>
      </c:barChart>
      <c:catAx>
        <c:axId val="11438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15103"/>
        <c:crosses val="autoZero"/>
        <c:auto val="1"/>
        <c:lblAlgn val="ctr"/>
        <c:lblOffset val="100"/>
        <c:noMultiLvlLbl val="0"/>
      </c:catAx>
      <c:valAx>
        <c:axId val="11423151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4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Maximum</a:t>
            </a:r>
            <a:r>
              <a:rPr lang="en-US" sz="1100" b="1" baseline="0">
                <a:solidFill>
                  <a:schemeClr val="accent6">
                    <a:lumMod val="50000"/>
                  </a:schemeClr>
                </a:solidFill>
              </a:rPr>
              <a: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PivotTables!$B$95</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PivotTables!$A$96:$A$98</c:f>
              <c:strCache>
                <c:ptCount val="2"/>
                <c:pt idx="0">
                  <c:v>Hargeisa</c:v>
                </c:pt>
                <c:pt idx="1">
                  <c:v>Mogadishu</c:v>
                </c:pt>
              </c:strCache>
            </c:strRef>
          </c:cat>
          <c:val>
            <c:numRef>
              <c:f>PivotTables!$B$96:$B$98</c:f>
              <c:numCache>
                <c:formatCode>"$"#,##0</c:formatCode>
                <c:ptCount val="2"/>
                <c:pt idx="0">
                  <c:v>380318.1</c:v>
                </c:pt>
                <c:pt idx="1">
                  <c:v>620677.11</c:v>
                </c:pt>
              </c:numCache>
            </c:numRef>
          </c:val>
          <c:smooth val="0"/>
          <c:extLst>
            <c:ext xmlns:c16="http://schemas.microsoft.com/office/drawing/2014/chart" uri="{C3380CC4-5D6E-409C-BE32-E72D297353CC}">
              <c16:uniqueId val="{00000000-C7F8-459E-8E04-E00991B149B6}"/>
            </c:ext>
          </c:extLst>
        </c:ser>
        <c:dLbls>
          <c:dLblPos val="t"/>
          <c:showLegendKey val="0"/>
          <c:showVal val="1"/>
          <c:showCatName val="0"/>
          <c:showSerName val="0"/>
          <c:showPercent val="0"/>
          <c:showBubbleSize val="0"/>
        </c:dLbls>
        <c:smooth val="0"/>
        <c:axId val="1142059231"/>
        <c:axId val="1142330911"/>
      </c:lineChart>
      <c:catAx>
        <c:axId val="11420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0911"/>
        <c:crosses val="autoZero"/>
        <c:auto val="1"/>
        <c:lblAlgn val="ctr"/>
        <c:lblOffset val="100"/>
        <c:noMultiLvlLbl val="0"/>
      </c:catAx>
      <c:valAx>
        <c:axId val="1142330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5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Size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PivotTables!$B$50</c:f>
              <c:strCache>
                <c:ptCount val="1"/>
                <c:pt idx="0">
                  <c:v>Total</c:v>
                </c:pt>
              </c:strCache>
            </c:strRef>
          </c:tx>
          <c:spPr>
            <a:solidFill>
              <a:schemeClr val="accent6">
                <a:lumMod val="50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PivotTables!$A$51:$A$53</c:f>
              <c:strCache>
                <c:ptCount val="2"/>
                <c:pt idx="0">
                  <c:v>Hargeisa</c:v>
                </c:pt>
                <c:pt idx="1">
                  <c:v>Mogadishu</c:v>
                </c:pt>
              </c:strCache>
            </c:strRef>
          </c:cat>
          <c:val>
            <c:numRef>
              <c:f>PivotTables!$B$51:$B$53</c:f>
              <c:numCache>
                <c:formatCode>General</c:formatCode>
                <c:ptCount val="2"/>
                <c:pt idx="0">
                  <c:v>1481</c:v>
                </c:pt>
                <c:pt idx="1">
                  <c:v>2384</c:v>
                </c:pt>
              </c:numCache>
            </c:numRef>
          </c:val>
          <c:extLst>
            <c:ext xmlns:c16="http://schemas.microsoft.com/office/drawing/2014/chart" uri="{C3380CC4-5D6E-409C-BE32-E72D297353CC}">
              <c16:uniqueId val="{00000000-27F7-47EB-83B1-A23A2D657D3C}"/>
            </c:ext>
          </c:extLst>
        </c:ser>
        <c:dLbls>
          <c:dLblPos val="outEnd"/>
          <c:showLegendKey val="0"/>
          <c:showVal val="1"/>
          <c:showCatName val="0"/>
          <c:showSerName val="0"/>
          <c:showPercent val="0"/>
          <c:showBubbleSize val="0"/>
        </c:dLbls>
        <c:gapWidth val="219"/>
        <c:overlap val="-27"/>
        <c:axId val="898556047"/>
        <c:axId val="1142279743"/>
      </c:barChart>
      <c:catAx>
        <c:axId val="8985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279743"/>
        <c:crosses val="autoZero"/>
        <c:auto val="1"/>
        <c:lblAlgn val="ctr"/>
        <c:lblOffset val="100"/>
        <c:noMultiLvlLbl val="0"/>
      </c:catAx>
      <c:valAx>
        <c:axId val="114227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5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Bedrooms By</a:t>
            </a:r>
            <a:r>
              <a:rPr lang="en-US" sz="1100" b="1" baseline="0">
                <a:solidFill>
                  <a:schemeClr val="accent6">
                    <a:lumMod val="50000"/>
                  </a:schemeClr>
                </a:solidFill>
              </a:rPr>
              <a:t>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PivotTables!$B$63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PivotTables!$A$64:$A$66</c:f>
              <c:strCache>
                <c:ptCount val="2"/>
                <c:pt idx="0">
                  <c:v>Hargeisa</c:v>
                </c:pt>
                <c:pt idx="1">
                  <c:v>Mogadishu</c:v>
                </c:pt>
              </c:strCache>
            </c:strRef>
          </c:cat>
          <c:val>
            <c:numRef>
              <c:f>PivotTables!$B$64:$B$66</c:f>
              <c:numCache>
                <c:formatCode>General</c:formatCode>
                <c:ptCount val="2"/>
                <c:pt idx="0">
                  <c:v>11</c:v>
                </c:pt>
                <c:pt idx="1">
                  <c:v>20</c:v>
                </c:pt>
              </c:numCache>
            </c:numRef>
          </c:val>
          <c:extLst>
            <c:ext xmlns:c16="http://schemas.microsoft.com/office/drawing/2014/chart" uri="{C3380CC4-5D6E-409C-BE32-E72D297353CC}">
              <c16:uniqueId val="{00000000-9B59-4473-83B8-25B05FD78FEF}"/>
            </c:ext>
          </c:extLst>
        </c:ser>
        <c:dLbls>
          <c:dLblPos val="outEnd"/>
          <c:showLegendKey val="0"/>
          <c:showVal val="1"/>
          <c:showCatName val="0"/>
          <c:showSerName val="0"/>
          <c:showPercent val="0"/>
          <c:showBubbleSize val="0"/>
        </c:dLbls>
        <c:gapWidth val="219"/>
        <c:axId val="978560207"/>
        <c:axId val="1142320095"/>
      </c:barChart>
      <c:catAx>
        <c:axId val="97856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0095"/>
        <c:crosses val="autoZero"/>
        <c:auto val="1"/>
        <c:lblAlgn val="ctr"/>
        <c:lblOffset val="100"/>
        <c:noMultiLvlLbl val="0"/>
      </c:catAx>
      <c:valAx>
        <c:axId val="114232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6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Size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6">
              <a:lumMod val="50000"/>
            </a:schemeClr>
          </a:solidFill>
          <a:ln>
            <a:noFill/>
          </a:ln>
          <a:effectLst/>
        </c:spPr>
        <c:marker>
          <c:symbol val="none"/>
        </c:marker>
      </c:pivotFmt>
      <c:pivotFmt>
        <c:idx val="2"/>
        <c:spPr>
          <a:solidFill>
            <a:schemeClr val="accent6">
              <a:lumMod val="50000"/>
            </a:schemeClr>
          </a:solidFill>
          <a:ln>
            <a:noFill/>
          </a:ln>
          <a:effectLst/>
        </c:spPr>
        <c:marker>
          <c:symbol val="none"/>
        </c:marker>
      </c:pivotFmt>
    </c:pivotFmts>
    <c:plotArea>
      <c:layout/>
      <c:barChart>
        <c:barDir val="col"/>
        <c:grouping val="clustered"/>
        <c:varyColors val="0"/>
        <c:ser>
          <c:idx val="0"/>
          <c:order val="0"/>
          <c:tx>
            <c:strRef>
              <c:f>PivotTables!$B$81</c:f>
              <c:strCache>
                <c:ptCount val="1"/>
                <c:pt idx="0">
                  <c:v>Total</c:v>
                </c:pt>
              </c:strCache>
            </c:strRef>
          </c:tx>
          <c:spPr>
            <a:solidFill>
              <a:schemeClr val="accent6">
                <a:lumMod val="50000"/>
              </a:schemeClr>
            </a:solidFill>
            <a:ln>
              <a:noFill/>
            </a:ln>
            <a:effectLst/>
          </c:spPr>
          <c:invertIfNegative val="0"/>
          <c:cat>
            <c:strRef>
              <c:f>PivotTables!$A$82:$A$84</c:f>
              <c:strCache>
                <c:ptCount val="2"/>
                <c:pt idx="0">
                  <c:v>Hargeisa</c:v>
                </c:pt>
                <c:pt idx="1">
                  <c:v>Mogadishu</c:v>
                </c:pt>
              </c:strCache>
            </c:strRef>
          </c:cat>
          <c:val>
            <c:numRef>
              <c:f>PivotTables!$B$82:$B$84</c:f>
              <c:numCache>
                <c:formatCode>0.0</c:formatCode>
                <c:ptCount val="2"/>
                <c:pt idx="0">
                  <c:v>370.25</c:v>
                </c:pt>
                <c:pt idx="1">
                  <c:v>298</c:v>
                </c:pt>
              </c:numCache>
            </c:numRef>
          </c:val>
          <c:extLst>
            <c:ext xmlns:c16="http://schemas.microsoft.com/office/drawing/2014/chart" uri="{C3380CC4-5D6E-409C-BE32-E72D297353CC}">
              <c16:uniqueId val="{00000000-1099-419F-87D0-3358653FC50C}"/>
            </c:ext>
          </c:extLst>
        </c:ser>
        <c:dLbls>
          <c:showLegendKey val="0"/>
          <c:showVal val="0"/>
          <c:showCatName val="0"/>
          <c:showSerName val="0"/>
          <c:showPercent val="0"/>
          <c:showBubbleSize val="0"/>
        </c:dLbls>
        <c:gapWidth val="219"/>
        <c:overlap val="-27"/>
        <c:axId val="1143840671"/>
        <c:axId val="1142315103"/>
      </c:barChart>
      <c:catAx>
        <c:axId val="11438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15103"/>
        <c:crosses val="autoZero"/>
        <c:auto val="1"/>
        <c:lblAlgn val="ctr"/>
        <c:lblOffset val="100"/>
        <c:noMultiLvlLbl val="0"/>
      </c:catAx>
      <c:valAx>
        <c:axId val="11423151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4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Maximum</a:t>
            </a:r>
            <a:r>
              <a:rPr lang="en-US" sz="1100" b="1" baseline="0">
                <a:solidFill>
                  <a:schemeClr val="accent6">
                    <a:lumMod val="50000"/>
                  </a:schemeClr>
                </a:solidFill>
              </a:rPr>
              <a: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PivotTables!$B$95</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PivotTables!$A$96:$A$98</c:f>
              <c:strCache>
                <c:ptCount val="2"/>
                <c:pt idx="0">
                  <c:v>Hargeisa</c:v>
                </c:pt>
                <c:pt idx="1">
                  <c:v>Mogadishu</c:v>
                </c:pt>
              </c:strCache>
            </c:strRef>
          </c:cat>
          <c:val>
            <c:numRef>
              <c:f>PivotTables!$B$96:$B$98</c:f>
              <c:numCache>
                <c:formatCode>"$"#,##0</c:formatCode>
                <c:ptCount val="2"/>
                <c:pt idx="0">
                  <c:v>380318.1</c:v>
                </c:pt>
                <c:pt idx="1">
                  <c:v>620677.11</c:v>
                </c:pt>
              </c:numCache>
            </c:numRef>
          </c:val>
          <c:smooth val="0"/>
          <c:extLst>
            <c:ext xmlns:c16="http://schemas.microsoft.com/office/drawing/2014/chart" uri="{C3380CC4-5D6E-409C-BE32-E72D297353CC}">
              <c16:uniqueId val="{00000000-2BFB-475C-8CB9-E78E26440094}"/>
            </c:ext>
          </c:extLst>
        </c:ser>
        <c:dLbls>
          <c:dLblPos val="t"/>
          <c:showLegendKey val="0"/>
          <c:showVal val="1"/>
          <c:showCatName val="0"/>
          <c:showSerName val="0"/>
          <c:showPercent val="0"/>
          <c:showBubbleSize val="0"/>
        </c:dLbls>
        <c:smooth val="0"/>
        <c:axId val="1142059231"/>
        <c:axId val="1142330911"/>
      </c:lineChart>
      <c:catAx>
        <c:axId val="11420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30911"/>
        <c:crosses val="autoZero"/>
        <c:auto val="1"/>
        <c:lblAlgn val="ctr"/>
        <c:lblOffset val="100"/>
        <c:noMultiLvlLbl val="0"/>
      </c:catAx>
      <c:valAx>
        <c:axId val="1142330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5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Property Data Analysis Using Excel.xlsx]PivotTables!PivotTable2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Total Properties</a:t>
            </a:r>
            <a:r>
              <a:rPr lang="en-US" sz="1200" b="1" baseline="0">
                <a:solidFill>
                  <a:schemeClr val="accent6">
                    <a:lumMod val="50000"/>
                  </a:schemeClr>
                </a:solidFill>
              </a:rPr>
              <a: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PivotTables!$A$4:$A$6</c:f>
              <c:strCache>
                <c:ptCount val="2"/>
                <c:pt idx="0">
                  <c:v>Hargeisa</c:v>
                </c:pt>
                <c:pt idx="1">
                  <c:v>Mogadishu</c:v>
                </c:pt>
              </c:strCache>
            </c:strRef>
          </c:cat>
          <c:val>
            <c:numRef>
              <c:f>PivotTables!$B$4:$B$6</c:f>
              <c:numCache>
                <c:formatCode>General</c:formatCode>
                <c:ptCount val="2"/>
                <c:pt idx="0">
                  <c:v>4</c:v>
                </c:pt>
                <c:pt idx="1">
                  <c:v>8</c:v>
                </c:pt>
              </c:numCache>
            </c:numRef>
          </c:val>
          <c:extLst>
            <c:ext xmlns:c16="http://schemas.microsoft.com/office/drawing/2014/chart" uri="{C3380CC4-5D6E-409C-BE32-E72D297353CC}">
              <c16:uniqueId val="{00000000-0018-402B-8B91-EDC14A8E711B}"/>
            </c:ext>
          </c:extLst>
        </c:ser>
        <c:dLbls>
          <c:dLblPos val="outEnd"/>
          <c:showLegendKey val="0"/>
          <c:showVal val="1"/>
          <c:showCatName val="0"/>
          <c:showSerName val="0"/>
          <c:showPercent val="0"/>
          <c:showBubbleSize val="0"/>
        </c:dLbls>
        <c:gapWidth val="219"/>
        <c:overlap val="-27"/>
        <c:axId val="970377007"/>
        <c:axId val="782115391"/>
      </c:barChart>
      <c:catAx>
        <c:axId val="970377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15391"/>
        <c:crosses val="autoZero"/>
        <c:auto val="1"/>
        <c:lblAlgn val="ctr"/>
        <c:lblOffset val="100"/>
        <c:noMultiLvlLbl val="0"/>
      </c:catAx>
      <c:valAx>
        <c:axId val="7821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7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Total Property Value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hade val="50000"/>
            </a:schemeClr>
          </a:solidFill>
          <a:ln>
            <a:noFill/>
          </a:ln>
          <a:effectLst/>
        </c:spPr>
      </c:pivotFmt>
      <c:pivotFmt>
        <c:idx val="4"/>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90000"/>
            </a:schemeClr>
          </a:solidFill>
          <a:ln>
            <a:noFill/>
          </a:ln>
          <a:effectLst/>
        </c:spPr>
      </c:pivotFmt>
      <c:pivotFmt>
        <c:idx val="6"/>
        <c:spPr>
          <a:solidFill>
            <a:schemeClr val="accent6"/>
          </a:solidFill>
          <a:ln>
            <a:noFill/>
          </a:ln>
          <a:effectLst/>
        </c:spPr>
      </c:pivotFmt>
      <c:pivotFmt>
        <c:idx val="7"/>
        <c:spPr>
          <a:solidFill>
            <a:schemeClr val="accent6">
              <a:tint val="70000"/>
            </a:schemeClr>
          </a:solidFill>
          <a:ln>
            <a:noFill/>
          </a:ln>
          <a:effectLst/>
        </c:spPr>
      </c:pivotFmt>
      <c:pivotFmt>
        <c:idx val="8"/>
        <c:spPr>
          <a:solidFill>
            <a:schemeClr val="accent6"/>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hade val="50000"/>
            </a:schemeClr>
          </a:solidFill>
          <a:ln>
            <a:noFill/>
          </a:ln>
          <a:effectLst/>
        </c:spPr>
      </c:pivotFmt>
      <c:pivotFmt>
        <c:idx val="11"/>
        <c:spPr>
          <a:solidFill>
            <a:schemeClr val="accent6">
              <a:shade val="70000"/>
            </a:schemeClr>
          </a:solidFill>
          <a:ln>
            <a:noFill/>
          </a:ln>
          <a:effectLst/>
        </c:spPr>
        <c:dLbl>
          <c:idx val="0"/>
          <c:layout>
            <c:manualLayout>
              <c:x val="-1.4371795912505386E-3"/>
              <c:y val="-4.27361674130356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hade val="90000"/>
            </a:schemeClr>
          </a:solidFill>
          <a:ln>
            <a:noFill/>
          </a:ln>
          <a:effectLst/>
        </c:spPr>
      </c:pivotFmt>
      <c:pivotFmt>
        <c:idx val="13"/>
        <c:spPr>
          <a:solidFill>
            <a:schemeClr val="accent6"/>
          </a:solidFill>
          <a:ln>
            <a:noFill/>
          </a:ln>
          <a:effectLst/>
        </c:spPr>
      </c:pivotFmt>
      <c:pivotFmt>
        <c:idx val="14"/>
        <c:spPr>
          <a:solidFill>
            <a:schemeClr val="accent6">
              <a:tint val="70000"/>
            </a:schemeClr>
          </a:solidFill>
          <a:ln>
            <a:noFill/>
          </a:ln>
          <a:effectLst/>
        </c:spPr>
      </c:pivotFmt>
      <c:pivotFmt>
        <c:idx val="15"/>
        <c:spPr>
          <a:solidFill>
            <a:schemeClr val="accent6"/>
          </a:solidFill>
          <a:ln>
            <a:noFill/>
          </a:ln>
          <a:effectLst/>
        </c:spPr>
      </c:pivotFmt>
    </c:pivotFmts>
    <c:plotArea>
      <c:layout/>
      <c:pieChart>
        <c:varyColors val="1"/>
        <c:ser>
          <c:idx val="0"/>
          <c:order val="0"/>
          <c:tx>
            <c:strRef>
              <c:f>PivotTables!$B$14</c:f>
              <c:strCache>
                <c:ptCount val="1"/>
                <c:pt idx="0">
                  <c:v>Total</c:v>
                </c:pt>
              </c:strCache>
            </c:strRef>
          </c:tx>
          <c:dPt>
            <c:idx val="0"/>
            <c:bubble3D val="0"/>
            <c:spPr>
              <a:solidFill>
                <a:schemeClr val="accent6">
                  <a:tint val="70000"/>
                </a:schemeClr>
              </a:solidFill>
              <a:ln>
                <a:noFill/>
              </a:ln>
              <a:effectLst/>
            </c:spPr>
            <c:extLst>
              <c:ext xmlns:c16="http://schemas.microsoft.com/office/drawing/2014/chart" uri="{C3380CC4-5D6E-409C-BE32-E72D297353CC}">
                <c16:uniqueId val="{00000001-6539-49E7-9697-D47B80B73991}"/>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3-6539-49E7-9697-D47B80B73991}"/>
              </c:ext>
            </c:extLst>
          </c:dPt>
          <c:dPt>
            <c:idx val="2"/>
            <c:bubble3D val="0"/>
            <c:spPr>
              <a:solidFill>
                <a:schemeClr val="accent6">
                  <a:tint val="60000"/>
                </a:schemeClr>
              </a:solidFill>
              <a:ln>
                <a:noFill/>
              </a:ln>
              <a:effectLst/>
            </c:spPr>
            <c:extLst>
              <c:ext xmlns:c16="http://schemas.microsoft.com/office/drawing/2014/chart" uri="{C3380CC4-5D6E-409C-BE32-E72D297353CC}">
                <c16:uniqueId val="{00000005-6539-49E7-9697-D47B80B73991}"/>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6539-49E7-9697-D47B80B73991}"/>
              </c:ext>
            </c:extLst>
          </c:dPt>
          <c:dPt>
            <c:idx val="4"/>
            <c:bubble3D val="0"/>
            <c:spPr>
              <a:solidFill>
                <a:schemeClr val="accent6">
                  <a:tint val="20000"/>
                </a:schemeClr>
              </a:solidFill>
              <a:ln>
                <a:noFill/>
              </a:ln>
              <a:effectLst/>
            </c:spPr>
            <c:extLst>
              <c:ext xmlns:c16="http://schemas.microsoft.com/office/drawing/2014/chart" uri="{C3380CC4-5D6E-409C-BE32-E72D297353CC}">
                <c16:uniqueId val="{00000009-6539-49E7-9697-D47B80B73991}"/>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6539-49E7-9697-D47B80B739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PivotTables!$A$15:$A$16</c:f>
              <c:strCache>
                <c:ptCount val="1"/>
                <c:pt idx="0">
                  <c:v>Unknown</c:v>
                </c:pt>
              </c:strCache>
            </c:strRef>
          </c:cat>
          <c:val>
            <c:numRef>
              <c:f>PivotTables!$B$15:$B$16</c:f>
              <c:numCache>
                <c:formatCode>General</c:formatCode>
                <c:ptCount val="1"/>
                <c:pt idx="0">
                  <c:v>2496165.92</c:v>
                </c:pt>
              </c:numCache>
            </c:numRef>
          </c:val>
          <c:extLst>
            <c:ext xmlns:c16="http://schemas.microsoft.com/office/drawing/2014/chart" uri="{C3380CC4-5D6E-409C-BE32-E72D297353CC}">
              <c16:uniqueId val="{0000000C-6539-49E7-9697-D47B80B739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6">
                    <a:lumMod val="50000"/>
                  </a:schemeClr>
                </a:solidFill>
              </a:rPr>
              <a:t>Average</a:t>
            </a:r>
            <a:r>
              <a:rPr lang="en-US" sz="1100" b="1" baseline="0">
                <a:solidFill>
                  <a:schemeClr val="accent6">
                    <a:lumMod val="50000"/>
                  </a:schemeClr>
                </a:solidFill>
              </a:rPr>
              <a:t> Propert Price By Location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PivotTables!$A$27:$A$29</c:f>
              <c:strCache>
                <c:ptCount val="2"/>
                <c:pt idx="0">
                  <c:v>Hargeisa</c:v>
                </c:pt>
                <c:pt idx="1">
                  <c:v>Mogadishu</c:v>
                </c:pt>
              </c:strCache>
            </c:strRef>
          </c:cat>
          <c:val>
            <c:numRef>
              <c:f>PivotTables!$B$27:$B$29</c:f>
              <c:numCache>
                <c:formatCode>"$"#,##0</c:formatCode>
                <c:ptCount val="2"/>
                <c:pt idx="0">
                  <c:v>165454.05249999999</c:v>
                </c:pt>
                <c:pt idx="1">
                  <c:v>229293.71374999997</c:v>
                </c:pt>
              </c:numCache>
            </c:numRef>
          </c:val>
          <c:extLst>
            <c:ext xmlns:c16="http://schemas.microsoft.com/office/drawing/2014/chart" uri="{C3380CC4-5D6E-409C-BE32-E72D297353CC}">
              <c16:uniqueId val="{00000000-F6DF-40BC-97CB-EA6734E70BB3}"/>
            </c:ext>
          </c:extLst>
        </c:ser>
        <c:dLbls>
          <c:dLblPos val="outEnd"/>
          <c:showLegendKey val="0"/>
          <c:showVal val="1"/>
          <c:showCatName val="0"/>
          <c:showSerName val="0"/>
          <c:showPercent val="0"/>
          <c:showBubbleSize val="0"/>
        </c:dLbls>
        <c:gapWidth val="219"/>
        <c:overlap val="-27"/>
        <c:axId val="985197455"/>
        <c:axId val="1142324671"/>
      </c:barChart>
      <c:catAx>
        <c:axId val="98519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324671"/>
        <c:crosses val="autoZero"/>
        <c:auto val="1"/>
        <c:lblAlgn val="ctr"/>
        <c:lblOffset val="100"/>
        <c:noMultiLvlLbl val="0"/>
      </c:catAx>
      <c:valAx>
        <c:axId val="1142324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97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Estate Property Data Analysis Using Excel.xlsx]PivotTables!PivotTable11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rPr>
              <a:t>Property</a:t>
            </a:r>
            <a:r>
              <a:rPr lang="en-US" sz="1200" b="1" baseline="0">
                <a:solidFill>
                  <a:schemeClr val="accent6">
                    <a:lumMod val="50000"/>
                  </a:schemeClr>
                </a:solidFill>
              </a:rPr>
              <a:t> Type Distribution</a:t>
            </a:r>
            <a:endParaRPr lang="en-US" sz="12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50000"/>
            </a:schemeClr>
          </a:solidFill>
          <a:ln>
            <a:noFill/>
          </a:ln>
          <a:effectLst/>
        </c:spPr>
      </c:pivotFmt>
      <c:pivotFmt>
        <c:idx val="3"/>
        <c:spPr>
          <a:solidFill>
            <a:schemeClr val="accent6">
              <a:shade val="70000"/>
            </a:schemeClr>
          </a:solidFill>
          <a:ln>
            <a:noFill/>
          </a:ln>
          <a:effectLst/>
        </c:spPr>
      </c:pivotFmt>
      <c:pivotFmt>
        <c:idx val="4"/>
        <c:spPr>
          <a:solidFill>
            <a:schemeClr val="accent6">
              <a:shade val="90000"/>
            </a:schemeClr>
          </a:solidFill>
          <a:ln>
            <a:noFill/>
          </a:ln>
          <a:effectLst/>
        </c:spPr>
      </c:pivotFmt>
      <c:pivotFmt>
        <c:idx val="5"/>
        <c:spPr>
          <a:solidFill>
            <a:schemeClr val="accent6"/>
          </a:solidFill>
          <a:ln>
            <a:noFill/>
          </a:ln>
          <a:effectLst/>
        </c:spPr>
      </c:pivotFmt>
      <c:pivotFmt>
        <c:idx val="6"/>
        <c:spPr>
          <a:solidFill>
            <a:schemeClr val="accent6">
              <a:tint val="70000"/>
            </a:schemeClr>
          </a:solidFill>
          <a:ln>
            <a:noFill/>
          </a:ln>
          <a:effectLst/>
        </c:spPr>
      </c:pivotFmt>
      <c:pivotFmt>
        <c:idx val="7"/>
        <c:spPr>
          <a:solidFill>
            <a:schemeClr val="accent6"/>
          </a:solidFill>
          <a:ln>
            <a:noFill/>
          </a:ln>
          <a:effectLst/>
        </c:spP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hade val="50000"/>
            </a:schemeClr>
          </a:solidFill>
          <a:ln>
            <a:noFill/>
          </a:ln>
          <a:effectLst/>
        </c:spPr>
      </c:pivotFmt>
      <c:pivotFmt>
        <c:idx val="10"/>
        <c:spPr>
          <a:solidFill>
            <a:schemeClr val="accent6">
              <a:shade val="70000"/>
            </a:schemeClr>
          </a:solidFill>
          <a:ln>
            <a:noFill/>
          </a:ln>
          <a:effectLst/>
        </c:spPr>
      </c:pivotFmt>
      <c:pivotFmt>
        <c:idx val="11"/>
        <c:spPr>
          <a:solidFill>
            <a:schemeClr val="accent6">
              <a:shade val="90000"/>
            </a:schemeClr>
          </a:solidFill>
          <a:ln>
            <a:noFill/>
          </a:ln>
          <a:effectLst/>
        </c:spPr>
      </c:pivotFmt>
      <c:pivotFmt>
        <c:idx val="12"/>
        <c:spPr>
          <a:solidFill>
            <a:schemeClr val="accent6"/>
          </a:solidFill>
          <a:ln>
            <a:noFill/>
          </a:ln>
          <a:effectLst/>
        </c:spPr>
      </c:pivotFmt>
      <c:pivotFmt>
        <c:idx val="13"/>
        <c:spPr>
          <a:solidFill>
            <a:schemeClr val="accent6">
              <a:tint val="70000"/>
            </a:schemeClr>
          </a:solidFill>
          <a:ln>
            <a:noFill/>
          </a:ln>
          <a:effectLst/>
        </c:spPr>
      </c:pivotFmt>
      <c:pivotFmt>
        <c:idx val="14"/>
        <c:spPr>
          <a:solidFill>
            <a:schemeClr val="accent6"/>
          </a:solidFill>
          <a:ln>
            <a:noFill/>
          </a:ln>
          <a:effectLst/>
        </c:spPr>
      </c:pivotFmt>
    </c:pivotFmts>
    <c:plotArea>
      <c:layout/>
      <c:doughnutChart>
        <c:varyColors val="1"/>
        <c:ser>
          <c:idx val="0"/>
          <c:order val="0"/>
          <c:tx>
            <c:strRef>
              <c:f>PivotTables!$B$39</c:f>
              <c:strCache>
                <c:ptCount val="1"/>
                <c:pt idx="0">
                  <c:v>Total</c:v>
                </c:pt>
              </c:strCache>
            </c:strRef>
          </c:tx>
          <c:dPt>
            <c:idx val="0"/>
            <c:bubble3D val="0"/>
            <c:spPr>
              <a:solidFill>
                <a:schemeClr val="accent6">
                  <a:tint val="70000"/>
                </a:schemeClr>
              </a:solidFill>
              <a:ln>
                <a:noFill/>
              </a:ln>
              <a:effectLst/>
            </c:spPr>
            <c:extLst>
              <c:ext xmlns:c16="http://schemas.microsoft.com/office/drawing/2014/chart" uri="{C3380CC4-5D6E-409C-BE32-E72D297353CC}">
                <c16:uniqueId val="{00000001-A9FD-4D83-953C-9E0F97BBB850}"/>
              </c:ext>
            </c:extLst>
          </c:dPt>
          <c:dPt>
            <c:idx val="1"/>
            <c:bubble3D val="0"/>
            <c:spPr>
              <a:solidFill>
                <a:schemeClr val="accent6">
                  <a:tint val="30000"/>
                </a:schemeClr>
              </a:solidFill>
              <a:ln>
                <a:noFill/>
              </a:ln>
              <a:effectLst/>
            </c:spPr>
            <c:extLst>
              <c:ext xmlns:c16="http://schemas.microsoft.com/office/drawing/2014/chart" uri="{C3380CC4-5D6E-409C-BE32-E72D297353CC}">
                <c16:uniqueId val="{00000003-A9FD-4D83-953C-9E0F97BBB850}"/>
              </c:ext>
            </c:extLst>
          </c:dPt>
          <c:dPt>
            <c:idx val="2"/>
            <c:bubble3D val="0"/>
            <c:spPr>
              <a:solidFill>
                <a:schemeClr val="accent6">
                  <a:tint val="60000"/>
                </a:schemeClr>
              </a:solidFill>
              <a:ln>
                <a:noFill/>
              </a:ln>
              <a:effectLst/>
            </c:spPr>
            <c:extLst>
              <c:ext xmlns:c16="http://schemas.microsoft.com/office/drawing/2014/chart" uri="{C3380CC4-5D6E-409C-BE32-E72D297353CC}">
                <c16:uniqueId val="{00000005-A9FD-4D83-953C-9E0F97BBB850}"/>
              </c:ext>
            </c:extLst>
          </c:dPt>
          <c:dPt>
            <c:idx val="3"/>
            <c:bubble3D val="0"/>
            <c:spPr>
              <a:solidFill>
                <a:schemeClr val="accent6">
                  <a:tint val="90000"/>
                </a:schemeClr>
              </a:solidFill>
              <a:ln>
                <a:noFill/>
              </a:ln>
              <a:effectLst/>
            </c:spPr>
            <c:extLst>
              <c:ext xmlns:c16="http://schemas.microsoft.com/office/drawing/2014/chart" uri="{C3380CC4-5D6E-409C-BE32-E72D297353CC}">
                <c16:uniqueId val="{00000007-A9FD-4D83-953C-9E0F97BBB850}"/>
              </c:ext>
            </c:extLst>
          </c:dPt>
          <c:dPt>
            <c:idx val="4"/>
            <c:bubble3D val="0"/>
            <c:spPr>
              <a:solidFill>
                <a:schemeClr val="accent6">
                  <a:tint val="20000"/>
                </a:schemeClr>
              </a:solidFill>
              <a:ln>
                <a:noFill/>
              </a:ln>
              <a:effectLst/>
            </c:spPr>
            <c:extLst>
              <c:ext xmlns:c16="http://schemas.microsoft.com/office/drawing/2014/chart" uri="{C3380CC4-5D6E-409C-BE32-E72D297353CC}">
                <c16:uniqueId val="{00000009-A9FD-4D83-953C-9E0F97BBB850}"/>
              </c:ext>
            </c:extLst>
          </c:dPt>
          <c:dPt>
            <c:idx val="5"/>
            <c:bubble3D val="0"/>
            <c:spPr>
              <a:solidFill>
                <a:schemeClr val="accent6">
                  <a:tint val="50000"/>
                </a:schemeClr>
              </a:solidFill>
              <a:ln>
                <a:noFill/>
              </a:ln>
              <a:effectLst/>
            </c:spPr>
            <c:extLst>
              <c:ext xmlns:c16="http://schemas.microsoft.com/office/drawing/2014/chart" uri="{C3380CC4-5D6E-409C-BE32-E72D297353CC}">
                <c16:uniqueId val="{0000000B-A9FD-4D83-953C-9E0F97BBB8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PivotTables!$A$40:$A$41</c:f>
              <c:strCache>
                <c:ptCount val="1"/>
                <c:pt idx="0">
                  <c:v>Unknown</c:v>
                </c:pt>
              </c:strCache>
            </c:strRef>
          </c:cat>
          <c:val>
            <c:numRef>
              <c:f>PivotTables!$B$40:$B$41</c:f>
              <c:numCache>
                <c:formatCode>General</c:formatCode>
                <c:ptCount val="1"/>
                <c:pt idx="0">
                  <c:v>12</c:v>
                </c:pt>
              </c:numCache>
            </c:numRef>
          </c:val>
          <c:extLst>
            <c:ext xmlns:c16="http://schemas.microsoft.com/office/drawing/2014/chart" uri="{C3380CC4-5D6E-409C-BE32-E72D297353CC}">
              <c16:uniqueId val="{0000000C-A9FD-4D83-953C-9E0F97BBB8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79376</xdr:colOff>
      <xdr:row>0</xdr:row>
      <xdr:rowOff>0</xdr:rowOff>
    </xdr:from>
    <xdr:to>
      <xdr:col>6</xdr:col>
      <xdr:colOff>592095</xdr:colOff>
      <xdr:row>12</xdr:row>
      <xdr:rowOff>165100</xdr:rowOff>
    </xdr:to>
    <xdr:graphicFrame macro="">
      <xdr:nvGraphicFramePr>
        <xdr:cNvPr id="5" name="Chart 4">
          <a:extLst>
            <a:ext uri="{FF2B5EF4-FFF2-40B4-BE49-F238E27FC236}">
              <a16:creationId xmlns:a16="http://schemas.microsoft.com/office/drawing/2014/main" id="{7EF4A548-71AD-4A8D-8291-E6B6B947A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22225</xdr:colOff>
      <xdr:row>13</xdr:row>
      <xdr:rowOff>25400</xdr:rowOff>
    </xdr:from>
    <xdr:to>
      <xdr:col>6</xdr:col>
      <xdr:colOff>566351</xdr:colOff>
      <xdr:row>23</xdr:row>
      <xdr:rowOff>57150</xdr:rowOff>
    </xdr:to>
    <xdr:graphicFrame macro="">
      <xdr:nvGraphicFramePr>
        <xdr:cNvPr id="6" name="Chart 5">
          <a:extLst>
            <a:ext uri="{FF2B5EF4-FFF2-40B4-BE49-F238E27FC236}">
              <a16:creationId xmlns:a16="http://schemas.microsoft.com/office/drawing/2014/main" id="{D8B76DE7-C0AB-40B5-8E1C-ACB137C21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26173</xdr:colOff>
      <xdr:row>23</xdr:row>
      <xdr:rowOff>100913</xdr:rowOff>
    </xdr:from>
    <xdr:to>
      <xdr:col>6</xdr:col>
      <xdr:colOff>532028</xdr:colOff>
      <xdr:row>36</xdr:row>
      <xdr:rowOff>88213</xdr:rowOff>
    </xdr:to>
    <xdr:graphicFrame macro="">
      <xdr:nvGraphicFramePr>
        <xdr:cNvPr id="7" name="Chart 6">
          <a:extLst>
            <a:ext uri="{FF2B5EF4-FFF2-40B4-BE49-F238E27FC236}">
              <a16:creationId xmlns:a16="http://schemas.microsoft.com/office/drawing/2014/main" id="{C6448409-912A-4CB7-8FFC-6D732CC73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41704</xdr:colOff>
      <xdr:row>36</xdr:row>
      <xdr:rowOff>132492</xdr:rowOff>
    </xdr:from>
    <xdr:to>
      <xdr:col>6</xdr:col>
      <xdr:colOff>343244</xdr:colOff>
      <xdr:row>48</xdr:row>
      <xdr:rowOff>11327</xdr:rowOff>
    </xdr:to>
    <xdr:graphicFrame macro="">
      <xdr:nvGraphicFramePr>
        <xdr:cNvPr id="8" name="Chart 7">
          <a:extLst>
            <a:ext uri="{FF2B5EF4-FFF2-40B4-BE49-F238E27FC236}">
              <a16:creationId xmlns:a16="http://schemas.microsoft.com/office/drawing/2014/main" id="{515935D1-8BC0-4078-A018-9A5F4EA72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45994</xdr:colOff>
      <xdr:row>48</xdr:row>
      <xdr:rowOff>123224</xdr:rowOff>
    </xdr:from>
    <xdr:to>
      <xdr:col>6</xdr:col>
      <xdr:colOff>377568</xdr:colOff>
      <xdr:row>59</xdr:row>
      <xdr:rowOff>167675</xdr:rowOff>
    </xdr:to>
    <xdr:graphicFrame macro="">
      <xdr:nvGraphicFramePr>
        <xdr:cNvPr id="9" name="Chart 8">
          <a:extLst>
            <a:ext uri="{FF2B5EF4-FFF2-40B4-BE49-F238E27FC236}">
              <a16:creationId xmlns:a16="http://schemas.microsoft.com/office/drawing/2014/main" id="{AAF1E682-637F-4393-9C40-F43A9367E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35957</xdr:colOff>
      <xdr:row>60</xdr:row>
      <xdr:rowOff>177286</xdr:rowOff>
    </xdr:from>
    <xdr:to>
      <xdr:col>6</xdr:col>
      <xdr:colOff>497704</xdr:colOff>
      <xdr:row>75</xdr:row>
      <xdr:rowOff>54233</xdr:rowOff>
    </xdr:to>
    <xdr:graphicFrame macro="">
      <xdr:nvGraphicFramePr>
        <xdr:cNvPr id="10" name="Chart 9">
          <a:extLst>
            <a:ext uri="{FF2B5EF4-FFF2-40B4-BE49-F238E27FC236}">
              <a16:creationId xmlns:a16="http://schemas.microsoft.com/office/drawing/2014/main" id="{9C4CFEDE-5233-4317-826B-5F4E17204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107521</xdr:colOff>
      <xdr:row>75</xdr:row>
      <xdr:rowOff>178486</xdr:rowOff>
    </xdr:from>
    <xdr:to>
      <xdr:col>6</xdr:col>
      <xdr:colOff>532027</xdr:colOff>
      <xdr:row>90</xdr:row>
      <xdr:rowOff>159437</xdr:rowOff>
    </xdr:to>
    <xdr:graphicFrame macro="">
      <xdr:nvGraphicFramePr>
        <xdr:cNvPr id="11" name="Chart 10">
          <a:extLst>
            <a:ext uri="{FF2B5EF4-FFF2-40B4-BE49-F238E27FC236}">
              <a16:creationId xmlns:a16="http://schemas.microsoft.com/office/drawing/2014/main" id="{CC2BEF81-04E9-4903-A309-5DFE2E0CB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45566</xdr:colOff>
      <xdr:row>92</xdr:row>
      <xdr:rowOff>93706</xdr:rowOff>
    </xdr:from>
    <xdr:to>
      <xdr:col>6</xdr:col>
      <xdr:colOff>471959</xdr:colOff>
      <xdr:row>107</xdr:row>
      <xdr:rowOff>74656</xdr:rowOff>
    </xdr:to>
    <xdr:graphicFrame macro="">
      <xdr:nvGraphicFramePr>
        <xdr:cNvPr id="12" name="Chart 11">
          <a:extLst>
            <a:ext uri="{FF2B5EF4-FFF2-40B4-BE49-F238E27FC236}">
              <a16:creationId xmlns:a16="http://schemas.microsoft.com/office/drawing/2014/main" id="{3C915F84-2678-4CFE-99E7-08D75EB6B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596901</xdr:colOff>
      <xdr:row>6</xdr:row>
      <xdr:rowOff>177800</xdr:rowOff>
    </xdr:from>
    <xdr:to>
      <xdr:col>6</xdr:col>
      <xdr:colOff>133350</xdr:colOff>
      <xdr:row>19</xdr:row>
      <xdr:rowOff>6350</xdr:rowOff>
    </xdr:to>
    <xdr:graphicFrame macro="">
      <xdr:nvGraphicFramePr>
        <xdr:cNvPr id="2" name="Chart 1">
          <a:extLst>
            <a:ext uri="{FF2B5EF4-FFF2-40B4-BE49-F238E27FC236}">
              <a16:creationId xmlns:a16="http://schemas.microsoft.com/office/drawing/2014/main" id="{90902903-011D-49DE-8C03-A894DCAF8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222250</xdr:colOff>
      <xdr:row>7</xdr:row>
      <xdr:rowOff>0</xdr:rowOff>
    </xdr:from>
    <xdr:to>
      <xdr:col>10</xdr:col>
      <xdr:colOff>152400</xdr:colOff>
      <xdr:row>19</xdr:row>
      <xdr:rowOff>25400</xdr:rowOff>
    </xdr:to>
    <xdr:graphicFrame macro="">
      <xdr:nvGraphicFramePr>
        <xdr:cNvPr id="3" name="Chart 2">
          <a:extLst>
            <a:ext uri="{FF2B5EF4-FFF2-40B4-BE49-F238E27FC236}">
              <a16:creationId xmlns:a16="http://schemas.microsoft.com/office/drawing/2014/main" id="{5A662DC3-A405-4CE3-935B-9F15B1A5F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19</xdr:row>
      <xdr:rowOff>82551</xdr:rowOff>
    </xdr:from>
    <xdr:to>
      <xdr:col>6</xdr:col>
      <xdr:colOff>133350</xdr:colOff>
      <xdr:row>31</xdr:row>
      <xdr:rowOff>171450</xdr:rowOff>
    </xdr:to>
    <xdr:graphicFrame macro="">
      <xdr:nvGraphicFramePr>
        <xdr:cNvPr id="4" name="Chart 3">
          <a:extLst>
            <a:ext uri="{FF2B5EF4-FFF2-40B4-BE49-F238E27FC236}">
              <a16:creationId xmlns:a16="http://schemas.microsoft.com/office/drawing/2014/main" id="{712D0BC4-38FF-4B5B-8FC8-40EC97ECA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203200</xdr:colOff>
      <xdr:row>19</xdr:row>
      <xdr:rowOff>95251</xdr:rowOff>
    </xdr:from>
    <xdr:to>
      <xdr:col>10</xdr:col>
      <xdr:colOff>158750</xdr:colOff>
      <xdr:row>31</xdr:row>
      <xdr:rowOff>177800</xdr:rowOff>
    </xdr:to>
    <xdr:graphicFrame macro="">
      <xdr:nvGraphicFramePr>
        <xdr:cNvPr id="5" name="Chart 4">
          <a:extLst>
            <a:ext uri="{FF2B5EF4-FFF2-40B4-BE49-F238E27FC236}">
              <a16:creationId xmlns:a16="http://schemas.microsoft.com/office/drawing/2014/main" id="{3275AE69-EAAB-4273-BF8D-3A848D912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69851</xdr:rowOff>
    </xdr:from>
    <xdr:to>
      <xdr:col>2</xdr:col>
      <xdr:colOff>539750</xdr:colOff>
      <xdr:row>8</xdr:row>
      <xdr:rowOff>63500</xdr:rowOff>
    </xdr:to>
    <mc:AlternateContent xmlns:mc="http://schemas.openxmlformats.org/markup-compatibility/2006" xmlns:a14="http://schemas.microsoft.com/office/drawing/2010/main">
      <mc:Choice Requires="a14">
        <xdr:graphicFrame macro="">
          <xdr:nvGraphicFramePr>
            <xdr:cNvPr id="9" name="Year _Colomn">
              <a:extLst>
                <a:ext uri="{FF2B5EF4-FFF2-40B4-BE49-F238E27FC236}">
                  <a16:creationId xmlns:a16="http://schemas.microsoft.com/office/drawing/2014/main" id="{9027F599-4A3E-498F-8513-0D020C53C7FB}"/>
                </a:ext>
              </a:extLst>
            </xdr:cNvPr>
            <xdr:cNvGraphicFramePr/>
          </xdr:nvGraphicFramePr>
          <xdr:xfrm>
            <a:off x="0" y="0"/>
            <a:ext cx="0" cy="0"/>
          </xdr:xfrm>
          <a:graphic>
            <a:graphicData uri="http://schemas.microsoft.com/office/drawing/2010/slicer">
              <sle:slicer xmlns:sle="http://schemas.microsoft.com/office/drawing/2010/slicer" name="Year _Colomn"/>
            </a:graphicData>
          </a:graphic>
        </xdr:graphicFrame>
      </mc:Choice>
      <mc:Fallback xmlns="">
        <xdr:sp macro="" textlink="">
          <xdr:nvSpPr>
            <xdr:cNvPr id="0" name=""/>
            <xdr:cNvSpPr>
              <a:spLocks noTextEdit="1"/>
            </xdr:cNvSpPr>
          </xdr:nvSpPr>
          <xdr:spPr>
            <a:xfrm>
              <a:off x="0" y="586922"/>
              <a:ext cx="1755321" cy="1172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123371</xdr:rowOff>
    </xdr:from>
    <xdr:to>
      <xdr:col>2</xdr:col>
      <xdr:colOff>533400</xdr:colOff>
      <xdr:row>19</xdr:row>
      <xdr:rowOff>15421</xdr:rowOff>
    </xdr:to>
    <mc:AlternateContent xmlns:mc="http://schemas.openxmlformats.org/markup-compatibility/2006" xmlns:a14="http://schemas.microsoft.com/office/drawing/2010/main">
      <mc:Choice Requires="a14">
        <xdr:graphicFrame macro="">
          <xdr:nvGraphicFramePr>
            <xdr:cNvPr id="6" name="Property_Type 1">
              <a:extLst>
                <a:ext uri="{FF2B5EF4-FFF2-40B4-BE49-F238E27FC236}">
                  <a16:creationId xmlns:a16="http://schemas.microsoft.com/office/drawing/2014/main" id="{343858CB-5AE0-4562-B3F8-5A81D1AA7CCC}"/>
                </a:ext>
              </a:extLst>
            </xdr:cNvPr>
            <xdr:cNvGraphicFramePr/>
          </xdr:nvGraphicFramePr>
          <xdr:xfrm>
            <a:off x="0" y="0"/>
            <a:ext cx="0" cy="0"/>
          </xdr:xfrm>
          <a:graphic>
            <a:graphicData uri="http://schemas.microsoft.com/office/drawing/2010/slicer">
              <sle:slicer xmlns:sle="http://schemas.microsoft.com/office/drawing/2010/slicer" name="Property_Type 1"/>
            </a:graphicData>
          </a:graphic>
        </xdr:graphicFrame>
      </mc:Choice>
      <mc:Fallback xmlns="">
        <xdr:sp macro="" textlink="">
          <xdr:nvSpPr>
            <xdr:cNvPr id="0" name=""/>
            <xdr:cNvSpPr>
              <a:spLocks noTextEdit="1"/>
            </xdr:cNvSpPr>
          </xdr:nvSpPr>
          <xdr:spPr>
            <a:xfrm>
              <a:off x="0" y="1638300"/>
              <a:ext cx="1748971" cy="2069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72571</xdr:rowOff>
    </xdr:from>
    <xdr:to>
      <xdr:col>2</xdr:col>
      <xdr:colOff>533400</xdr:colOff>
      <xdr:row>30</xdr:row>
      <xdr:rowOff>180521</xdr:rowOff>
    </xdr:to>
    <mc:AlternateContent xmlns:mc="http://schemas.openxmlformats.org/markup-compatibility/2006" xmlns:a14="http://schemas.microsoft.com/office/drawing/2010/main">
      <mc:Choice Requires="a14">
        <xdr:graphicFrame macro="">
          <xdr:nvGraphicFramePr>
            <xdr:cNvPr id="7" name="Location 1">
              <a:extLst>
                <a:ext uri="{FF2B5EF4-FFF2-40B4-BE49-F238E27FC236}">
                  <a16:creationId xmlns:a16="http://schemas.microsoft.com/office/drawing/2014/main" id="{BF713EAE-C759-4F88-B40B-A3DDD50822B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0" y="3583214"/>
              <a:ext cx="1748971" cy="2285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12701</xdr:rowOff>
    </xdr:from>
    <xdr:to>
      <xdr:col>2</xdr:col>
      <xdr:colOff>546100</xdr:colOff>
      <xdr:row>35</xdr:row>
      <xdr:rowOff>120650</xdr:rowOff>
    </xdr:to>
    <mc:AlternateContent xmlns:mc="http://schemas.openxmlformats.org/markup-compatibility/2006" xmlns:a14="http://schemas.microsoft.com/office/drawing/2010/main">
      <mc:Choice Requires="a14">
        <xdr:graphicFrame macro="">
          <xdr:nvGraphicFramePr>
            <xdr:cNvPr id="8" name="Price_Category 1">
              <a:extLst>
                <a:ext uri="{FF2B5EF4-FFF2-40B4-BE49-F238E27FC236}">
                  <a16:creationId xmlns:a16="http://schemas.microsoft.com/office/drawing/2014/main" id="{1BC995DB-230E-4710-9C23-4AE729443912}"/>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mlns="">
        <xdr:sp macro="" textlink="">
          <xdr:nvSpPr>
            <xdr:cNvPr id="0" name=""/>
            <xdr:cNvSpPr>
              <a:spLocks noTextEdit="1"/>
            </xdr:cNvSpPr>
          </xdr:nvSpPr>
          <xdr:spPr>
            <a:xfrm>
              <a:off x="0" y="5519058"/>
              <a:ext cx="1761671" cy="1196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679450</xdr:colOff>
      <xdr:row>6</xdr:row>
      <xdr:rowOff>114300</xdr:rowOff>
    </xdr:from>
    <xdr:to>
      <xdr:col>6</xdr:col>
      <xdr:colOff>331716</xdr:colOff>
      <xdr:row>19</xdr:row>
      <xdr:rowOff>93019</xdr:rowOff>
    </xdr:to>
    <xdr:graphicFrame macro="">
      <xdr:nvGraphicFramePr>
        <xdr:cNvPr id="6" name="Chart 5">
          <a:extLst>
            <a:ext uri="{FF2B5EF4-FFF2-40B4-BE49-F238E27FC236}">
              <a16:creationId xmlns:a16="http://schemas.microsoft.com/office/drawing/2014/main" id="{CBDE2919-A8C9-40BD-AA7E-D98F8F875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392847</xdr:colOff>
      <xdr:row>6</xdr:row>
      <xdr:rowOff>98567</xdr:rowOff>
    </xdr:from>
    <xdr:to>
      <xdr:col>11</xdr:col>
      <xdr:colOff>285031</xdr:colOff>
      <xdr:row>19</xdr:row>
      <xdr:rowOff>79517</xdr:rowOff>
    </xdr:to>
    <xdr:graphicFrame macro="">
      <xdr:nvGraphicFramePr>
        <xdr:cNvPr id="7" name="Chart 6">
          <a:extLst>
            <a:ext uri="{FF2B5EF4-FFF2-40B4-BE49-F238E27FC236}">
              <a16:creationId xmlns:a16="http://schemas.microsoft.com/office/drawing/2014/main" id="{8DAA94FE-6F6C-49B7-BA78-521A21519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38101</xdr:colOff>
      <xdr:row>19</xdr:row>
      <xdr:rowOff>177800</xdr:rowOff>
    </xdr:from>
    <xdr:to>
      <xdr:col>6</xdr:col>
      <xdr:colOff>322239</xdr:colOff>
      <xdr:row>32</xdr:row>
      <xdr:rowOff>165100</xdr:rowOff>
    </xdr:to>
    <xdr:graphicFrame macro="">
      <xdr:nvGraphicFramePr>
        <xdr:cNvPr id="8" name="Chart 7">
          <a:extLst>
            <a:ext uri="{FF2B5EF4-FFF2-40B4-BE49-F238E27FC236}">
              <a16:creationId xmlns:a16="http://schemas.microsoft.com/office/drawing/2014/main" id="{1C9E65F2-90D6-4056-9719-ADB837016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392848</xdr:colOff>
      <xdr:row>19</xdr:row>
      <xdr:rowOff>165099</xdr:rowOff>
    </xdr:from>
    <xdr:to>
      <xdr:col>11</xdr:col>
      <xdr:colOff>274853</xdr:colOff>
      <xdr:row>32</xdr:row>
      <xdr:rowOff>152399</xdr:rowOff>
    </xdr:to>
    <xdr:graphicFrame macro="">
      <xdr:nvGraphicFramePr>
        <xdr:cNvPr id="9" name="Chart 8">
          <a:extLst>
            <a:ext uri="{FF2B5EF4-FFF2-40B4-BE49-F238E27FC236}">
              <a16:creationId xmlns:a16="http://schemas.microsoft.com/office/drawing/2014/main" id="{F786FA59-2E59-4944-95EE-AFF74541B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194671</xdr:rowOff>
    </xdr:from>
    <xdr:to>
      <xdr:col>2</xdr:col>
      <xdr:colOff>615666</xdr:colOff>
      <xdr:row>12</xdr:row>
      <xdr:rowOff>66345</xdr:rowOff>
    </xdr:to>
    <mc:AlternateContent xmlns:mc="http://schemas.openxmlformats.org/markup-compatibility/2006" xmlns:a14="http://schemas.microsoft.com/office/drawing/2010/main">
      <mc:Choice Requires="a14">
        <xdr:graphicFrame macro="">
          <xdr:nvGraphicFramePr>
            <xdr:cNvPr id="10" name="Property_Type">
              <a:extLst>
                <a:ext uri="{FF2B5EF4-FFF2-40B4-BE49-F238E27FC236}">
                  <a16:creationId xmlns:a16="http://schemas.microsoft.com/office/drawing/2014/main" id="{B29C76C3-F995-4BCA-876E-6753EA4F34AE}"/>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0" y="516910"/>
              <a:ext cx="1828800" cy="1956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144533</xdr:rowOff>
    </xdr:from>
    <xdr:to>
      <xdr:col>2</xdr:col>
      <xdr:colOff>615666</xdr:colOff>
      <xdr:row>18</xdr:row>
      <xdr:rowOff>85298</xdr:rowOff>
    </xdr:to>
    <mc:AlternateContent xmlns:mc="http://schemas.openxmlformats.org/markup-compatibility/2006" xmlns:a14="http://schemas.microsoft.com/office/drawing/2010/main">
      <mc:Choice Requires="a14">
        <xdr:graphicFrame macro="">
          <xdr:nvGraphicFramePr>
            <xdr:cNvPr id="14" name="Year _Colomn 1">
              <a:extLst>
                <a:ext uri="{FF2B5EF4-FFF2-40B4-BE49-F238E27FC236}">
                  <a16:creationId xmlns:a16="http://schemas.microsoft.com/office/drawing/2014/main" id="{2219FC49-BC9F-4CA3-9680-072C13B97894}"/>
                </a:ext>
              </a:extLst>
            </xdr:cNvPr>
            <xdr:cNvGraphicFramePr/>
          </xdr:nvGraphicFramePr>
          <xdr:xfrm>
            <a:off x="0" y="0"/>
            <a:ext cx="0" cy="0"/>
          </xdr:xfrm>
          <a:graphic>
            <a:graphicData uri="http://schemas.microsoft.com/office/drawing/2010/slicer">
              <sle:slicer xmlns:sle="http://schemas.microsoft.com/office/drawing/2010/slicer" name="Year _Colomn 1"/>
            </a:graphicData>
          </a:graphic>
        </xdr:graphicFrame>
      </mc:Choice>
      <mc:Fallback xmlns="">
        <xdr:sp macro="" textlink="">
          <xdr:nvSpPr>
            <xdr:cNvPr id="0" name=""/>
            <xdr:cNvSpPr>
              <a:spLocks noTextEdit="1"/>
            </xdr:cNvSpPr>
          </xdr:nvSpPr>
          <xdr:spPr>
            <a:xfrm>
              <a:off x="0" y="2371772"/>
              <a:ext cx="1828800" cy="1201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9477</xdr:colOff>
      <xdr:row>17</xdr:row>
      <xdr:rowOff>152020</xdr:rowOff>
    </xdr:from>
    <xdr:to>
      <xdr:col>2</xdr:col>
      <xdr:colOff>625143</xdr:colOff>
      <xdr:row>24</xdr:row>
      <xdr:rowOff>56865</xdr:rowOff>
    </xdr:to>
    <mc:AlternateContent xmlns:mc="http://schemas.openxmlformats.org/markup-compatibility/2006" xmlns:a14="http://schemas.microsoft.com/office/drawing/2010/main">
      <mc:Choice Requires="a14">
        <xdr:graphicFrame macro="">
          <xdr:nvGraphicFramePr>
            <xdr:cNvPr id="12" name="Price_Category">
              <a:extLst>
                <a:ext uri="{FF2B5EF4-FFF2-40B4-BE49-F238E27FC236}">
                  <a16:creationId xmlns:a16="http://schemas.microsoft.com/office/drawing/2014/main" id="{EDF56186-32C8-4094-9015-3551777CB517}"/>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9477" y="3459707"/>
              <a:ext cx="1828800" cy="1165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7488</xdr:rowOff>
    </xdr:from>
    <xdr:to>
      <xdr:col>2</xdr:col>
      <xdr:colOff>615666</xdr:colOff>
      <xdr:row>37</xdr:row>
      <xdr:rowOff>28433</xdr:rowOff>
    </xdr:to>
    <mc:AlternateContent xmlns:mc="http://schemas.openxmlformats.org/markup-compatibility/2006">
      <mc:Choice xmlns:a14="http://schemas.microsoft.com/office/drawing/2010/main" Requires="a14">
        <xdr:graphicFrame macro="">
          <xdr:nvGraphicFramePr>
            <xdr:cNvPr id="11" name="Location">
              <a:extLst>
                <a:ext uri="{FF2B5EF4-FFF2-40B4-BE49-F238E27FC236}">
                  <a16:creationId xmlns:a16="http://schemas.microsoft.com/office/drawing/2014/main" id="{D52A2CD4-2546-40D5-9BFC-8905AF7DCF3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4642988"/>
              <a:ext cx="1829222" cy="2405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yni Abuukar" refreshedDate="46259.434952662035" createdVersion="6" refreshedVersion="6" minRefreshableVersion="3" recordCount="293" xr:uid="{7E1D71F8-C893-49A5-8F07-693B5B1CB19F}">
  <cacheSource type="worksheet">
    <worksheetSource ref="N1:N1048576" sheet="Clean_Data"/>
  </cacheSource>
  <cacheFields count="1">
    <cacheField name="Clean_Listing_Date" numFmtId="166">
      <sharedItems containsDate="1" containsBlank="1" containsMixedTypes="1" minDate="2025-01-05T00:00:00" maxDate="2026-07-23T00:00:00" count="222">
        <d v="2026-01-11T00:00:00"/>
        <d v="2026-04-30T00:00:00"/>
        <d v="2025-02-11T00:00:00"/>
        <s v="Unknown"/>
        <d v="2025-12-18T00:00:00"/>
        <d v="2026-04-20T00:00:00"/>
        <d v="2026-06-24T00:00:00"/>
        <d v="2026-05-26T00:00:00"/>
        <d v="2026-01-21T00:00:00"/>
        <d v="2025-07-17T00:00:00"/>
        <d v="2025-11-21T00:00:00"/>
        <d v="2026-03-27T00:00:00"/>
        <d v="2025-11-18T00:00:00"/>
        <d v="2025-07-24T00:00:00"/>
        <d v="2025-06-12T00:00:00"/>
        <d v="2026-01-16T00:00:00"/>
        <d v="2025-01-05T00:00:00"/>
        <d v="2026-06-22T00:00:00"/>
        <d v="2026-04-15T00:00:00"/>
        <d v="2025-02-19T00:00:00"/>
        <d v="2025-07-13T00:00:00"/>
        <d v="2025-04-09T00:00:00"/>
        <d v="2025-09-29T00:00:00"/>
        <d v="2025-12-26T00:00:00"/>
        <d v="2026-02-02T00:00:00"/>
        <d v="2025-12-08T00:00:00"/>
        <d v="2026-03-26T00:00:00"/>
        <d v="2026-05-15T00:00:00"/>
        <d v="2025-06-14T00:00:00"/>
        <d v="2026-04-18T00:00:00"/>
        <d v="2026-06-14T00:00:00"/>
        <d v="2026-07-13T00:00:00"/>
        <d v="2025-07-27T00:00:00"/>
        <d v="2026-07-22T00:00:00"/>
        <d v="2025-07-06T00:00:00"/>
        <d v="2025-02-23T00:00:00"/>
        <d v="2025-11-13T00:00:00"/>
        <d v="2025-04-04T00:00:00"/>
        <d v="2025-11-26T00:00:00"/>
        <d v="2026-01-01T00:00:00"/>
        <d v="2026-02-13T00:00:00"/>
        <d v="2026-01-17T00:00:00"/>
        <d v="2025-01-26T00:00:00"/>
        <d v="2025-03-22T00:00:00"/>
        <d v="2025-11-29T00:00:00"/>
        <d v="2025-01-16T00:00:00"/>
        <d v="2025-03-11T00:00:00"/>
        <d v="2026-07-04T00:00:00"/>
        <d v="2025-08-22T00:00:00"/>
        <d v="2025-07-18T00:00:00"/>
        <d v="2026-06-28T00:00:00"/>
        <d v="2025-09-13T00:00:00"/>
        <d v="2025-12-11T00:00:00"/>
        <d v="2026-06-21T00:00:00"/>
        <d v="2025-10-28T00:00:00"/>
        <d v="2026-07-12T00:00:00"/>
        <d v="2025-02-17T00:00:00"/>
        <d v="2026-02-26T00:00:00"/>
        <d v="2025-05-08T00:00:00"/>
        <d v="2025-03-05T00:00:00"/>
        <d v="2026-07-15T00:00:00"/>
        <d v="2025-07-03T00:00:00"/>
        <d v="2025-05-20T00:00:00"/>
        <d v="2026-01-12T00:00:00"/>
        <d v="2025-09-05T00:00:00"/>
        <d v="2025-03-06T00:00:00"/>
        <d v="2026-02-17T00:00:00"/>
        <d v="2025-11-10T00:00:00"/>
        <d v="2026-01-28T00:00:00"/>
        <d v="2025-02-13T00:00:00"/>
        <d v="2026-04-02T00:00:00"/>
        <d v="2026-06-25T00:00:00"/>
        <d v="2025-08-14T00:00:00"/>
        <d v="2026-01-15T00:00:00"/>
        <d v="2025-06-27T00:00:00"/>
        <d v="2025-03-16T00:00:00"/>
        <d v="2026-03-08T00:00:00"/>
        <d v="2026-02-03T00:00:00"/>
        <d v="2026-04-16T00:00:00"/>
        <d v="2025-07-30T00:00:00"/>
        <d v="2025-08-09T00:00:00"/>
        <d v="2026-01-23T00:00:00"/>
        <d v="2025-12-03T00:00:00"/>
        <d v="2026-06-13T00:00:00"/>
        <d v="2026-01-14T00:00:00"/>
        <d v="2025-06-05T00:00:00"/>
        <d v="2025-01-23T00:00:00"/>
        <d v="2025-10-21T00:00:00"/>
        <d v="2025-02-02T00:00:00"/>
        <d v="2025-01-09T00:00:00"/>
        <d v="2025-10-01T00:00:00"/>
        <d v="2025-05-21T00:00:00"/>
        <d v="2025-08-30T00:00:00"/>
        <d v="2026-05-01T00:00:00"/>
        <d v="2026-05-16T00:00:00"/>
        <d v="2025-05-07T00:00:00"/>
        <d v="2025-01-08T00:00:00"/>
        <d v="2026-03-04T00:00:00"/>
        <d v="2025-06-29T00:00:00"/>
        <d v="2026-05-09T00:00:00"/>
        <d v="2026-06-09T00:00:00"/>
        <d v="2025-10-15T00:00:00"/>
        <d v="2025-10-27T00:00:00"/>
        <d v="2026-06-02T00:00:00"/>
        <d v="2025-11-25T00:00:00"/>
        <d v="2025-01-13T00:00:00"/>
        <d v="2025-03-09T00:00:00"/>
        <d v="2025-08-28T00:00:00"/>
        <d v="2026-06-06T00:00:00"/>
        <d v="2025-08-31T00:00:00"/>
        <d v="2025-08-17T00:00:00"/>
        <d v="2025-01-27T00:00:00"/>
        <d v="2025-08-03T00:00:00"/>
        <d v="2025-09-01T00:00:00"/>
        <d v="2025-08-24T00:00:00"/>
        <d v="2025-04-16T00:00:00"/>
        <d v="2026-04-01T00:00:00"/>
        <d v="2025-10-25T00:00:00"/>
        <d v="2025-03-26T00:00:00"/>
        <d v="2025-01-31T00:00:00"/>
        <d v="2026-02-06T00:00:00"/>
        <d v="2026-04-04T00:00:00"/>
        <d v="2025-11-15T00:00:00"/>
        <d v="2026-05-12T00:00:00"/>
        <d v="2025-04-25T00:00:00"/>
        <d v="2026-01-30T00:00:00"/>
        <d v="2026-06-10T00:00:00"/>
        <d v="2026-04-13T00:00:00"/>
        <d v="2026-02-25T00:00:00"/>
        <d v="2025-01-25T00:00:00"/>
        <d v="2026-04-08T00:00:00"/>
        <d v="2025-10-07T00:00:00"/>
        <d v="2025-12-21T00:00:00"/>
        <d v="2025-01-14T00:00:00"/>
        <d v="2025-05-02T00:00:00"/>
        <d v="2025-08-08T00:00:00"/>
        <d v="2025-09-04T00:00:00"/>
        <d v="2026-02-21T00:00:00"/>
        <d v="2025-03-07T00:00:00"/>
        <d v="2025-11-16T00:00:00"/>
        <d v="2026-06-29T00:00:00"/>
        <d v="2025-03-10T00:00:00"/>
        <d v="2025-03-30T00:00:00"/>
        <d v="2026-01-26T00:00:00"/>
        <d v="2025-02-22T00:00:00"/>
        <d v="2025-10-04T00:00:00"/>
        <d v="2026-07-06T00:00:00"/>
        <d v="2025-08-21T00:00:00"/>
        <d v="2025-02-20T00:00:00"/>
        <d v="2025-08-25T00:00:00"/>
        <d v="2025-08-06T00:00:00"/>
        <d v="2025-10-16T00:00:00"/>
        <d v="2025-06-13T00:00:00"/>
        <d v="2026-05-10T00:00:00"/>
        <d v="2026-04-14T00:00:00"/>
        <d v="2025-05-26T00:00:00"/>
        <d v="2025-02-26T00:00:00"/>
        <d v="2025-01-06T00:00:00"/>
        <d v="2025-07-20T00:00:00"/>
        <d v="2025-12-31T00:00:00"/>
        <d v="2025-08-05T00:00:00"/>
        <d v="2026-05-04T00:00:00"/>
        <d v="2025-06-24T00:00:00"/>
        <d v="2025-02-18T00:00:00"/>
        <d v="2026-04-26T00:00:00"/>
        <d v="2025-02-04T00:00:00"/>
        <d v="2026-03-01T00:00:00"/>
        <d v="2025-04-24T00:00:00"/>
        <d v="2025-11-22T00:00:00"/>
        <d v="2026-06-23T00:00:00"/>
        <d v="2025-03-27T00:00:00"/>
        <d v="2025-10-17T00:00:00"/>
        <d v="2026-02-11T00:00:00"/>
        <d v="2025-06-17T00:00:00"/>
        <d v="2026-03-29T00:00:00"/>
        <d v="2025-04-26T00:00:00"/>
        <d v="2025-08-19T00:00:00"/>
        <d v="2025-06-19T00:00:00"/>
        <d v="2025-03-03T00:00:00"/>
        <d v="2026-07-21T00:00:00"/>
        <d v="2025-05-14T00:00:00"/>
        <d v="2026-02-01T00:00:00"/>
        <d v="2026-04-07T00:00:00"/>
        <d v="2025-02-16T00:00:00"/>
        <d v="2025-03-24T00:00:00"/>
        <d v="2025-12-15T00:00:00"/>
        <d v="2025-08-12T00:00:00"/>
        <d v="2025-07-04T00:00:00"/>
        <d v="2025-07-26T00:00:00"/>
        <d v="2026-05-13T00:00:00"/>
        <d v="2026-07-02T00:00:00"/>
        <d v="2026-03-25T00:00:00"/>
        <d v="2025-02-03T00:00:00"/>
        <d v="2025-09-10T00:00:00"/>
        <d v="2025-05-18T00:00:00"/>
        <d v="2026-04-28T00:00:00"/>
        <d v="2026-06-07T00:00:00"/>
        <d v="2026-01-04T00:00:00"/>
        <d v="2025-07-16T00:00:00"/>
        <d v="2025-02-21T00:00:00"/>
        <d v="2026-05-05T00:00:00"/>
        <d v="2025-07-07T00:00:00"/>
        <d v="2025-09-07T00:00:00"/>
        <d v="2026-04-25T00:00:00"/>
        <d v="2026-01-06T00:00:00"/>
        <d v="2026-06-27T00:00:00"/>
        <d v="2026-04-06T00:00:00"/>
        <d v="2025-01-17T00:00:00"/>
        <d v="2025-11-03T00:00:00"/>
        <d v="2026-02-05T00:00:00"/>
        <d v="2026-04-24T00:00:00"/>
        <d v="2026-05-28T00:00:00"/>
        <d v="2025-04-11T00:00:00"/>
        <d v="2026-03-22T00:00:00"/>
        <d v="2025-03-04T00:00:00"/>
        <d v="2026-02-14T00:00:00"/>
        <d v="2026-07-20T00:00:00"/>
        <d v="2025-02-24T00:00:00"/>
        <d v="2025-12-19T00:00:00"/>
        <d v="2025-08-07T00:00:00"/>
        <d v="2026-07-14T00:00:0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yni Abuukar" refreshedDate="46259.434953009259" createdVersion="6" refreshedVersion="6" minRefreshableVersion="3" recordCount="292" xr:uid="{FC92E037-2F96-4B37-9330-3C09F61863DD}">
  <cacheSource type="worksheet">
    <worksheetSource name="PropertyTable"/>
  </cacheSource>
  <cacheFields count="16">
    <cacheField name="Property_ID" numFmtId="0">
      <sharedItems/>
    </cacheField>
    <cacheField name="Listing_Date" numFmtId="166">
      <sharedItems containsDate="1" containsMixedTypes="1" minDate="2025-01-05T00:00:00" maxDate="2026-07-23T00:00:00"/>
    </cacheField>
    <cacheField name="Property_Type" numFmtId="0">
      <sharedItems count="6">
        <s v="Apartment"/>
        <s v="Unknown"/>
        <s v="Villa"/>
        <s v="House"/>
        <s v="Commercial"/>
        <s v="Land"/>
      </sharedItems>
    </cacheField>
    <cacheField name="Location" numFmtId="0">
      <sharedItems count="7">
        <s v="Hargeisa"/>
        <s v="Baidoa"/>
        <s v="Mogadishu"/>
        <s v="Garowe"/>
        <s v="Bosaso"/>
        <s v="Kismayo"/>
        <s v="Unknown"/>
      </sharedItems>
    </cacheField>
    <cacheField name="Size_Sqm" numFmtId="0">
      <sharedItems containsSemiMixedTypes="0" containsString="0" containsNumber="1" containsInteger="1" minValue="45" maxValue="2015"/>
    </cacheField>
    <cacheField name="Bedrooms" numFmtId="0">
      <sharedItems containsSemiMixedTypes="0" containsString="0" containsNumber="1" containsInteger="1" minValue="0" maxValue="7"/>
    </cacheField>
    <cacheField name="Price" numFmtId="165">
      <sharedItems containsSemiMixedTypes="0" containsString="0" containsNumber="1" minValue="17505.310000000001" maxValue="2000022"/>
    </cacheField>
    <cacheField name="Price_Category" numFmtId="0">
      <sharedItems count="3">
        <s v="Low"/>
        <s v="High"/>
        <s v="Medium"/>
      </sharedItems>
    </cacheField>
    <cacheField name="Days Since Listing" numFmtId="1">
      <sharedItems containsMixedTypes="1" containsNumber="1" containsInteger="1" minValue="34" maxValue="597"/>
    </cacheField>
    <cacheField name="ID_Extracted" numFmtId="2">
      <sharedItems/>
    </cacheField>
    <cacheField name="Location Length" numFmtId="0">
      <sharedItems containsSemiMixedTypes="0" containsString="0" containsNumber="1" containsInteger="1" minValue="6" maxValue="9"/>
    </cacheField>
    <cacheField name="Standardized" numFmtId="0">
      <sharedItems/>
    </cacheField>
    <cacheField name="Standardized2" numFmtId="0">
      <sharedItems/>
    </cacheField>
    <cacheField name="Clean_Listing_Date" numFmtId="166">
      <sharedItems containsDate="1" containsMixedTypes="1" minDate="2025-01-05T00:00:00" maxDate="2026-07-23T00:00:00"/>
    </cacheField>
    <cacheField name="Year _Colomn" numFmtId="0">
      <sharedItems containsMixedTypes="1" containsNumber="1" containsInteger="1" minValue="2025" maxValue="2026" count="3">
        <n v="2026"/>
        <n v="2025"/>
        <s v="Unknown"/>
      </sharedItems>
    </cacheField>
    <cacheField name="Clean_Data" numFmtId="14">
      <sharedItems containsDate="1" containsMixedTypes="1" minDate="2025-01-05T00:00:00" maxDate="2026-07-23T00:00:00"/>
    </cacheField>
  </cacheFields>
  <extLst>
    <ext xmlns:x14="http://schemas.microsoft.com/office/spreadsheetml/2009/9/main" uri="{725AE2AE-9491-48be-B2B4-4EB974FC3084}">
      <x14:pivotCacheDefinition pivotCacheId="145124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r>
  <r>
    <x v="1"/>
  </r>
  <r>
    <x v="2"/>
  </r>
  <r>
    <x v="3"/>
  </r>
  <r>
    <x v="4"/>
  </r>
  <r>
    <x v="5"/>
  </r>
  <r>
    <x v="6"/>
  </r>
  <r>
    <x v="7"/>
  </r>
  <r>
    <x v="8"/>
  </r>
  <r>
    <x v="9"/>
  </r>
  <r>
    <x v="10"/>
  </r>
  <r>
    <x v="11"/>
  </r>
  <r>
    <x v="12"/>
  </r>
  <r>
    <x v="13"/>
  </r>
  <r>
    <x v="14"/>
  </r>
  <r>
    <x v="15"/>
  </r>
  <r>
    <x v="16"/>
  </r>
  <r>
    <x v="17"/>
  </r>
  <r>
    <x v="3"/>
  </r>
  <r>
    <x v="18"/>
  </r>
  <r>
    <x v="19"/>
  </r>
  <r>
    <x v="20"/>
  </r>
  <r>
    <x v="3"/>
  </r>
  <r>
    <x v="21"/>
  </r>
  <r>
    <x v="22"/>
  </r>
  <r>
    <x v="23"/>
  </r>
  <r>
    <x v="24"/>
  </r>
  <r>
    <x v="25"/>
  </r>
  <r>
    <x v="26"/>
  </r>
  <r>
    <x v="27"/>
  </r>
  <r>
    <x v="28"/>
  </r>
  <r>
    <x v="29"/>
  </r>
  <r>
    <x v="30"/>
  </r>
  <r>
    <x v="31"/>
  </r>
  <r>
    <x v="32"/>
  </r>
  <r>
    <x v="33"/>
  </r>
  <r>
    <x v="34"/>
  </r>
  <r>
    <x v="35"/>
  </r>
  <r>
    <x v="36"/>
  </r>
  <r>
    <x v="37"/>
  </r>
  <r>
    <x v="6"/>
  </r>
  <r>
    <x v="38"/>
  </r>
  <r>
    <x v="39"/>
  </r>
  <r>
    <x v="40"/>
  </r>
  <r>
    <x v="41"/>
  </r>
  <r>
    <x v="42"/>
  </r>
  <r>
    <x v="43"/>
  </r>
  <r>
    <x v="44"/>
  </r>
  <r>
    <x v="45"/>
  </r>
  <r>
    <x v="18"/>
  </r>
  <r>
    <x v="46"/>
  </r>
  <r>
    <x v="47"/>
  </r>
  <r>
    <x v="48"/>
  </r>
  <r>
    <x v="49"/>
  </r>
  <r>
    <x v="50"/>
  </r>
  <r>
    <x v="51"/>
  </r>
  <r>
    <x v="52"/>
  </r>
  <r>
    <x v="53"/>
  </r>
  <r>
    <x v="54"/>
  </r>
  <r>
    <x v="55"/>
  </r>
  <r>
    <x v="56"/>
  </r>
  <r>
    <x v="57"/>
  </r>
  <r>
    <x v="58"/>
  </r>
  <r>
    <x v="59"/>
  </r>
  <r>
    <x v="60"/>
  </r>
  <r>
    <x v="61"/>
  </r>
  <r>
    <x v="62"/>
  </r>
  <r>
    <x v="63"/>
  </r>
  <r>
    <x v="64"/>
  </r>
  <r>
    <x v="3"/>
  </r>
  <r>
    <x v="65"/>
  </r>
  <r>
    <x v="27"/>
  </r>
  <r>
    <x v="66"/>
  </r>
  <r>
    <x v="3"/>
  </r>
  <r>
    <x v="67"/>
  </r>
  <r>
    <x v="68"/>
  </r>
  <r>
    <x v="69"/>
  </r>
  <r>
    <x v="70"/>
  </r>
  <r>
    <x v="71"/>
  </r>
  <r>
    <x v="72"/>
  </r>
  <r>
    <x v="73"/>
  </r>
  <r>
    <x v="74"/>
  </r>
  <r>
    <x v="34"/>
  </r>
  <r>
    <x v="75"/>
  </r>
  <r>
    <x v="76"/>
  </r>
  <r>
    <x v="53"/>
  </r>
  <r>
    <x v="77"/>
  </r>
  <r>
    <x v="78"/>
  </r>
  <r>
    <x v="79"/>
  </r>
  <r>
    <x v="80"/>
  </r>
  <r>
    <x v="3"/>
  </r>
  <r>
    <x v="81"/>
  </r>
  <r>
    <x v="82"/>
  </r>
  <r>
    <x v="34"/>
  </r>
  <r>
    <x v="83"/>
  </r>
  <r>
    <x v="84"/>
  </r>
  <r>
    <x v="85"/>
  </r>
  <r>
    <x v="86"/>
  </r>
  <r>
    <x v="87"/>
  </r>
  <r>
    <x v="88"/>
  </r>
  <r>
    <x v="89"/>
  </r>
  <r>
    <x v="90"/>
  </r>
  <r>
    <x v="91"/>
  </r>
  <r>
    <x v="92"/>
  </r>
  <r>
    <x v="93"/>
  </r>
  <r>
    <x v="94"/>
  </r>
  <r>
    <x v="95"/>
  </r>
  <r>
    <x v="96"/>
  </r>
  <r>
    <x v="97"/>
  </r>
  <r>
    <x v="98"/>
  </r>
  <r>
    <x v="99"/>
  </r>
  <r>
    <x v="100"/>
  </r>
  <r>
    <x v="101"/>
  </r>
  <r>
    <x v="102"/>
  </r>
  <r>
    <x v="103"/>
  </r>
  <r>
    <x v="104"/>
  </r>
  <r>
    <x v="105"/>
  </r>
  <r>
    <x v="9"/>
  </r>
  <r>
    <x v="106"/>
  </r>
  <r>
    <x v="107"/>
  </r>
  <r>
    <x v="108"/>
  </r>
  <r>
    <x v="83"/>
  </r>
  <r>
    <x v="3"/>
  </r>
  <r>
    <x v="109"/>
  </r>
  <r>
    <x v="110"/>
  </r>
  <r>
    <x v="9"/>
  </r>
  <r>
    <x v="111"/>
  </r>
  <r>
    <x v="112"/>
  </r>
  <r>
    <x v="112"/>
  </r>
  <r>
    <x v="113"/>
  </r>
  <r>
    <x v="114"/>
  </r>
  <r>
    <x v="70"/>
  </r>
  <r>
    <x v="13"/>
  </r>
  <r>
    <x v="115"/>
  </r>
  <r>
    <x v="21"/>
  </r>
  <r>
    <x v="116"/>
  </r>
  <r>
    <x v="117"/>
  </r>
  <r>
    <x v="33"/>
  </r>
  <r>
    <x v="45"/>
  </r>
  <r>
    <x v="58"/>
  </r>
  <r>
    <x v="3"/>
  </r>
  <r>
    <x v="38"/>
  </r>
  <r>
    <x v="118"/>
  </r>
  <r>
    <x v="119"/>
  </r>
  <r>
    <x v="120"/>
  </r>
  <r>
    <x v="121"/>
  </r>
  <r>
    <x v="87"/>
  </r>
  <r>
    <x v="122"/>
  </r>
  <r>
    <x v="123"/>
  </r>
  <r>
    <x v="124"/>
  </r>
  <r>
    <x v="125"/>
  </r>
  <r>
    <x v="23"/>
  </r>
  <r>
    <x v="126"/>
  </r>
  <r>
    <x v="127"/>
  </r>
  <r>
    <x v="128"/>
  </r>
  <r>
    <x v="129"/>
  </r>
  <r>
    <x v="130"/>
  </r>
  <r>
    <x v="54"/>
  </r>
  <r>
    <x v="131"/>
  </r>
  <r>
    <x v="132"/>
  </r>
  <r>
    <x v="133"/>
  </r>
  <r>
    <x v="134"/>
  </r>
  <r>
    <x v="117"/>
  </r>
  <r>
    <x v="135"/>
  </r>
  <r>
    <x v="136"/>
  </r>
  <r>
    <x v="137"/>
  </r>
  <r>
    <x v="17"/>
  </r>
  <r>
    <x v="3"/>
  </r>
  <r>
    <x v="138"/>
  </r>
  <r>
    <x v="121"/>
  </r>
  <r>
    <x v="139"/>
  </r>
  <r>
    <x v="3"/>
  </r>
  <r>
    <x v="140"/>
  </r>
  <r>
    <x v="47"/>
  </r>
  <r>
    <x v="141"/>
  </r>
  <r>
    <x v="142"/>
  </r>
  <r>
    <x v="91"/>
  </r>
  <r>
    <x v="3"/>
  </r>
  <r>
    <x v="143"/>
  </r>
  <r>
    <x v="144"/>
  </r>
  <r>
    <x v="3"/>
  </r>
  <r>
    <x v="3"/>
  </r>
  <r>
    <x v="145"/>
  </r>
  <r>
    <x v="146"/>
  </r>
  <r>
    <x v="147"/>
  </r>
  <r>
    <x v="116"/>
  </r>
  <r>
    <x v="148"/>
  </r>
  <r>
    <x v="5"/>
  </r>
  <r>
    <x v="149"/>
  </r>
  <r>
    <x v="5"/>
  </r>
  <r>
    <x v="150"/>
  </r>
  <r>
    <x v="151"/>
  </r>
  <r>
    <x v="152"/>
  </r>
  <r>
    <x v="153"/>
  </r>
  <r>
    <x v="124"/>
  </r>
  <r>
    <x v="154"/>
  </r>
  <r>
    <x v="155"/>
  </r>
  <r>
    <x v="156"/>
  </r>
  <r>
    <x v="157"/>
  </r>
  <r>
    <x v="158"/>
  </r>
  <r>
    <x v="107"/>
  </r>
  <r>
    <x v="159"/>
  </r>
  <r>
    <x v="79"/>
  </r>
  <r>
    <x v="160"/>
  </r>
  <r>
    <x v="161"/>
  </r>
  <r>
    <x v="162"/>
  </r>
  <r>
    <x v="163"/>
  </r>
  <r>
    <x v="62"/>
  </r>
  <r>
    <x v="164"/>
  </r>
  <r>
    <x v="165"/>
  </r>
  <r>
    <x v="166"/>
  </r>
  <r>
    <x v="167"/>
  </r>
  <r>
    <x v="168"/>
  </r>
  <r>
    <x v="169"/>
  </r>
  <r>
    <x v="138"/>
  </r>
  <r>
    <x v="3"/>
  </r>
  <r>
    <x v="170"/>
  </r>
  <r>
    <x v="171"/>
  </r>
  <r>
    <x v="172"/>
  </r>
  <r>
    <x v="173"/>
  </r>
  <r>
    <x v="174"/>
  </r>
  <r>
    <x v="3"/>
  </r>
  <r>
    <x v="175"/>
  </r>
  <r>
    <x v="82"/>
  </r>
  <r>
    <x v="176"/>
  </r>
  <r>
    <x v="177"/>
  </r>
  <r>
    <x v="178"/>
  </r>
  <r>
    <x v="179"/>
  </r>
  <r>
    <x v="180"/>
  </r>
  <r>
    <x v="111"/>
  </r>
  <r>
    <x v="181"/>
  </r>
  <r>
    <x v="182"/>
  </r>
  <r>
    <x v="183"/>
  </r>
  <r>
    <x v="184"/>
  </r>
  <r>
    <x v="185"/>
  </r>
  <r>
    <x v="105"/>
  </r>
  <r>
    <x v="186"/>
  </r>
  <r>
    <x v="187"/>
  </r>
  <r>
    <x v="188"/>
  </r>
  <r>
    <x v="189"/>
  </r>
  <r>
    <x v="190"/>
  </r>
  <r>
    <x v="191"/>
  </r>
  <r>
    <x v="192"/>
  </r>
  <r>
    <x v="193"/>
  </r>
  <r>
    <x v="194"/>
  </r>
  <r>
    <x v="195"/>
  </r>
  <r>
    <x v="196"/>
  </r>
  <r>
    <x v="17"/>
  </r>
  <r>
    <x v="197"/>
  </r>
  <r>
    <x v="89"/>
  </r>
  <r>
    <x v="198"/>
  </r>
  <r>
    <x v="33"/>
  </r>
  <r>
    <x v="199"/>
  </r>
  <r>
    <x v="200"/>
  </r>
  <r>
    <x v="139"/>
  </r>
  <r>
    <x v="201"/>
  </r>
  <r>
    <x v="202"/>
  </r>
  <r>
    <x v="60"/>
  </r>
  <r>
    <x v="203"/>
  </r>
  <r>
    <x v="204"/>
  </r>
  <r>
    <x v="168"/>
  </r>
  <r>
    <x v="205"/>
  </r>
  <r>
    <x v="206"/>
  </r>
  <r>
    <x v="207"/>
  </r>
  <r>
    <x v="12"/>
  </r>
  <r>
    <x v="86"/>
  </r>
  <r>
    <x v="208"/>
  </r>
  <r>
    <x v="209"/>
  </r>
  <r>
    <x v="210"/>
  </r>
  <r>
    <x v="78"/>
  </r>
  <r>
    <x v="211"/>
  </r>
  <r>
    <x v="212"/>
  </r>
  <r>
    <x v="213"/>
  </r>
  <r>
    <x v="214"/>
  </r>
  <r>
    <x v="20"/>
  </r>
  <r>
    <x v="109"/>
  </r>
  <r>
    <x v="18"/>
  </r>
  <r>
    <x v="215"/>
  </r>
  <r>
    <x v="216"/>
  </r>
  <r>
    <x v="201"/>
  </r>
  <r>
    <x v="217"/>
  </r>
  <r>
    <x v="37"/>
  </r>
  <r>
    <x v="204"/>
  </r>
  <r>
    <x v="14"/>
  </r>
  <r>
    <x v="218"/>
  </r>
  <r>
    <x v="127"/>
  </r>
  <r>
    <x v="219"/>
  </r>
  <r>
    <x v="220"/>
  </r>
  <r>
    <x v="180"/>
  </r>
  <r>
    <x v="3"/>
  </r>
  <r>
    <x v="194"/>
  </r>
  <r>
    <x v="171"/>
  </r>
  <r>
    <x v="2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s v="PRP0045"/>
    <d v="2026-01-11T00:00:00"/>
    <x v="0"/>
    <x v="0"/>
    <n v="59"/>
    <n v="5"/>
    <n v="33315.800000000003"/>
    <x v="0"/>
    <n v="226"/>
    <s v="0045"/>
    <n v="8"/>
    <s v="Apartment"/>
    <s v="Hargeisa"/>
    <d v="2026-01-11T00:00:00"/>
    <x v="0"/>
    <d v="2026-01-11T00:00:00"/>
  </r>
  <r>
    <s v="PRP0188"/>
    <d v="2026-04-30T00:00:00"/>
    <x v="1"/>
    <x v="1"/>
    <n v="185"/>
    <n v="1"/>
    <n v="66750.47"/>
    <x v="0"/>
    <n v="117"/>
    <s v="0188"/>
    <n v="6"/>
    <s v="Unknown"/>
    <s v="Baidoa"/>
    <d v="2026-04-30T00:00:00"/>
    <x v="0"/>
    <d v="2026-04-30T00:00:00"/>
  </r>
  <r>
    <s v="Unknown01"/>
    <d v="2025-02-11T00:00:00"/>
    <x v="2"/>
    <x v="2"/>
    <n v="400"/>
    <n v="5"/>
    <n v="372852.18"/>
    <x v="1"/>
    <n v="560"/>
    <s v="wn01"/>
    <n v="9"/>
    <s v="Villa"/>
    <s v="Mogadishu"/>
    <d v="2025-02-11T00:00:00"/>
    <x v="1"/>
    <d v="2025-02-11T00:00:00"/>
  </r>
  <r>
    <s v="PRP0212"/>
    <s v="Unknown"/>
    <x v="3"/>
    <x v="2"/>
    <n v="284"/>
    <n v="3"/>
    <n v="187104.95"/>
    <x v="2"/>
    <s v="Unknown"/>
    <s v="0212"/>
    <n v="9"/>
    <s v="House"/>
    <s v="Mogadishu"/>
    <s v="Unknown"/>
    <x v="2"/>
    <s v=""/>
  </r>
  <r>
    <s v="PRP0141"/>
    <d v="2025-12-18T00:00:00"/>
    <x v="4"/>
    <x v="0"/>
    <n v="295"/>
    <n v="0"/>
    <n v="283316.37"/>
    <x v="1"/>
    <n v="250"/>
    <s v="0141"/>
    <n v="8"/>
    <s v="Commercial"/>
    <s v="Hargeisa"/>
    <d v="2025-12-18T00:00:00"/>
    <x v="1"/>
    <d v="2025-12-18T00:00:00"/>
  </r>
  <r>
    <s v="PRP0230"/>
    <d v="2026-04-20T00:00:00"/>
    <x v="0"/>
    <x v="2"/>
    <n v="295"/>
    <n v="6"/>
    <n v="58741.9"/>
    <x v="0"/>
    <n v="127"/>
    <s v="0230"/>
    <n v="9"/>
    <s v="Apartment"/>
    <s v="Mogadishu"/>
    <d v="2026-04-20T00:00:00"/>
    <x v="0"/>
    <d v="2026-04-20T00:00:00"/>
  </r>
  <r>
    <s v="PRP0255"/>
    <d v="2026-06-24T00:00:00"/>
    <x v="0"/>
    <x v="1"/>
    <n v="146"/>
    <n v="3"/>
    <n v="64417.58"/>
    <x v="0"/>
    <n v="62"/>
    <s v="0255"/>
    <n v="6"/>
    <s v="Apartment"/>
    <s v="Baidoa"/>
    <d v="2026-06-24T00:00:00"/>
    <x v="0"/>
    <d v="2026-06-24T00:00:00"/>
  </r>
  <r>
    <s v="PRP0208"/>
    <d v="2026-05-26T00:00:00"/>
    <x v="0"/>
    <x v="2"/>
    <n v="50"/>
    <n v="3"/>
    <n v="44214.57"/>
    <x v="0"/>
    <n v="91"/>
    <s v="0208"/>
    <n v="9"/>
    <s v="Apartment"/>
    <s v="Mogadishu"/>
    <d v="2026-05-26T00:00:00"/>
    <x v="0"/>
    <d v="2026-05-26T00:00:00"/>
  </r>
  <r>
    <s v="PRP0273"/>
    <d v="2026-01-21T00:00:00"/>
    <x v="0"/>
    <x v="1"/>
    <n v="56"/>
    <n v="2"/>
    <n v="18933.72"/>
    <x v="0"/>
    <n v="216"/>
    <s v="0273"/>
    <n v="6"/>
    <s v="Apartment"/>
    <s v="Baidoa"/>
    <d v="2026-01-21T00:00:00"/>
    <x v="0"/>
    <d v="2026-01-21T00:00:00"/>
  </r>
  <r>
    <s v="PRP0016"/>
    <d v="2025-07-17T00:00:00"/>
    <x v="4"/>
    <x v="1"/>
    <n v="374"/>
    <n v="0"/>
    <n v="167091.21"/>
    <x v="2"/>
    <n v="404"/>
    <s v="0016"/>
    <n v="6"/>
    <s v="Commercial"/>
    <s v="Baidoa"/>
    <d v="2025-07-17T00:00:00"/>
    <x v="1"/>
    <d v="2025-07-17T00:00:00"/>
  </r>
  <r>
    <s v="PRP0062"/>
    <d v="2025-11-21T00:00:00"/>
    <x v="1"/>
    <x v="2"/>
    <n v="186"/>
    <n v="4"/>
    <n v="154685.01"/>
    <x v="2"/>
    <n v="277"/>
    <s v="0062"/>
    <n v="9"/>
    <s v="Unknown"/>
    <s v="Mogadishu"/>
    <d v="2025-11-21T00:00:00"/>
    <x v="1"/>
    <d v="2025-11-21T00:00:00"/>
  </r>
  <r>
    <s v="PRP0091"/>
    <d v="2026-03-27T00:00:00"/>
    <x v="1"/>
    <x v="0"/>
    <n v="1005"/>
    <n v="3"/>
    <n v="380318.1"/>
    <x v="1"/>
    <n v="151"/>
    <s v="0091"/>
    <n v="8"/>
    <s v="Unknown"/>
    <s v="Hargeisa"/>
    <d v="2026-03-27T00:00:00"/>
    <x v="0"/>
    <d v="2026-03-27T00:00:00"/>
  </r>
  <r>
    <s v="PRP0197"/>
    <d v="2025-11-18T00:00:00"/>
    <x v="0"/>
    <x v="2"/>
    <n v="135"/>
    <n v="1"/>
    <n v="85595.89"/>
    <x v="0"/>
    <n v="280"/>
    <s v="0197"/>
    <n v="9"/>
    <s v="Apartment"/>
    <s v="Mogadishu"/>
    <d v="2025-11-18T00:00:00"/>
    <x v="1"/>
    <d v="2025-11-18T00:00:00"/>
  </r>
  <r>
    <s v="PRP0137"/>
    <d v="2025-07-24T00:00:00"/>
    <x v="0"/>
    <x v="0"/>
    <n v="69"/>
    <n v="6"/>
    <n v="53710.9"/>
    <x v="0"/>
    <n v="397"/>
    <s v="0137"/>
    <n v="8"/>
    <s v="Apartment"/>
    <s v="Hargeisa"/>
    <d v="2025-07-24T00:00:00"/>
    <x v="1"/>
    <d v="2025-07-24T00:00:00"/>
  </r>
  <r>
    <s v="Unknown02"/>
    <d v="2025-06-12T00:00:00"/>
    <x v="0"/>
    <x v="2"/>
    <n v="153"/>
    <n v="5"/>
    <n v="94612.52"/>
    <x v="0"/>
    <n v="439"/>
    <s v="wn02"/>
    <n v="9"/>
    <s v="Apartment"/>
    <s v="Mogadishu"/>
    <d v="2025-06-12T00:00:00"/>
    <x v="1"/>
    <d v="2025-06-12T00:00:00"/>
  </r>
  <r>
    <s v="PRP0168"/>
    <d v="2026-01-16T00:00:00"/>
    <x v="0"/>
    <x v="2"/>
    <n v="84"/>
    <n v="4"/>
    <n v="69993.850000000006"/>
    <x v="0"/>
    <n v="221"/>
    <s v="0168"/>
    <n v="9"/>
    <s v="Apartment"/>
    <s v="Mogadishu"/>
    <d v="2026-01-16T00:00:00"/>
    <x v="0"/>
    <d v="2026-01-16T00:00:00"/>
  </r>
  <r>
    <s v="PRP0025"/>
    <d v="2025-01-05T00:00:00"/>
    <x v="5"/>
    <x v="1"/>
    <n v="540"/>
    <n v="0"/>
    <n v="175133.17"/>
    <x v="2"/>
    <n v="597"/>
    <s v="0025"/>
    <n v="6"/>
    <s v="Land"/>
    <s v="Baidoa"/>
    <d v="2025-01-05T00:00:00"/>
    <x v="1"/>
    <d v="2025-01-05T00:00:00"/>
  </r>
  <r>
    <s v="PRP0118"/>
    <d v="2026-06-22T00:00:00"/>
    <x v="3"/>
    <x v="2"/>
    <n v="124"/>
    <n v="6"/>
    <n v="87390.52"/>
    <x v="0"/>
    <n v="64"/>
    <s v="0118"/>
    <n v="9"/>
    <s v="House"/>
    <s v="Mogadishu"/>
    <d v="2026-06-22T00:00:00"/>
    <x v="0"/>
    <d v="2026-06-22T00:00:00"/>
  </r>
  <r>
    <s v="PRP0276"/>
    <s v="Unknown"/>
    <x v="0"/>
    <x v="2"/>
    <n v="106"/>
    <n v="4"/>
    <n v="97362.81"/>
    <x v="0"/>
    <s v="Unknown"/>
    <s v="0276"/>
    <n v="9"/>
    <s v="Apartment"/>
    <s v="Mogadishu"/>
    <s v="Unknown"/>
    <x v="2"/>
    <s v=""/>
  </r>
  <r>
    <s v="PRP0149"/>
    <d v="2026-04-15T00:00:00"/>
    <x v="0"/>
    <x v="2"/>
    <n v="78"/>
    <n v="4"/>
    <n v="59333.36"/>
    <x v="0"/>
    <n v="132"/>
    <s v="0149"/>
    <n v="9"/>
    <s v="Apartment"/>
    <s v="Mogadishu"/>
    <d v="2026-04-15T00:00:00"/>
    <x v="0"/>
    <d v="2026-04-15T00:00:00"/>
  </r>
  <r>
    <s v="PRP0223"/>
    <d v="2025-02-19T00:00:00"/>
    <x v="0"/>
    <x v="0"/>
    <n v="86"/>
    <n v="6"/>
    <n v="61674.83"/>
    <x v="0"/>
    <n v="552"/>
    <s v="0223"/>
    <n v="8"/>
    <s v="Apartment"/>
    <s v="Hargeisa"/>
    <d v="2025-02-19T00:00:00"/>
    <x v="1"/>
    <d v="2025-02-19T00:00:00"/>
  </r>
  <r>
    <s v="PRP0159"/>
    <d v="2025-07-13T00:00:00"/>
    <x v="5"/>
    <x v="2"/>
    <n v="813"/>
    <n v="0"/>
    <n v="505246.4"/>
    <x v="1"/>
    <n v="408"/>
    <s v="0159"/>
    <n v="9"/>
    <s v="Land"/>
    <s v="Mogadishu"/>
    <d v="2025-07-13T00:00:00"/>
    <x v="1"/>
    <d v="2025-07-13T00:00:00"/>
  </r>
  <r>
    <s v="PRP0287"/>
    <s v="Unknown"/>
    <x v="4"/>
    <x v="2"/>
    <n v="82"/>
    <n v="0"/>
    <n v="178260.23"/>
    <x v="2"/>
    <s v="Unknown"/>
    <s v="0287"/>
    <n v="9"/>
    <s v="Commercial"/>
    <s v="Mogadishu"/>
    <s v="Unknown"/>
    <x v="2"/>
    <s v=""/>
  </r>
  <r>
    <s v="PRP0122"/>
    <d v="2025-04-09T00:00:00"/>
    <x v="3"/>
    <x v="0"/>
    <n v="295"/>
    <n v="3"/>
    <n v="109022.54"/>
    <x v="2"/>
    <n v="503"/>
    <s v="0122"/>
    <n v="8"/>
    <s v="House"/>
    <s v="Hargeisa"/>
    <d v="2025-04-09T00:00:00"/>
    <x v="1"/>
    <d v="2025-04-09T00:00:00"/>
  </r>
  <r>
    <s v="PRP0267"/>
    <d v="2025-09-29T00:00:00"/>
    <x v="3"/>
    <x v="2"/>
    <n v="126"/>
    <n v="2"/>
    <n v="80684.990000000005"/>
    <x v="0"/>
    <n v="330"/>
    <s v="0267"/>
    <n v="9"/>
    <s v="House"/>
    <s v="Mogadishu"/>
    <d v="2025-09-29T00:00:00"/>
    <x v="1"/>
    <d v="2025-09-29T00:00:00"/>
  </r>
  <r>
    <s v="PRP0169"/>
    <d v="2025-12-26T00:00:00"/>
    <x v="5"/>
    <x v="3"/>
    <n v="1131"/>
    <n v="0"/>
    <n v="436421.06"/>
    <x v="1"/>
    <n v="242"/>
    <s v="0169"/>
    <n v="6"/>
    <s v="Land"/>
    <s v="Garowe"/>
    <d v="2025-12-26T00:00:00"/>
    <x v="1"/>
    <d v="2025-12-26T00:00:00"/>
  </r>
  <r>
    <s v="PRP0245"/>
    <d v="2026-02-02T00:00:00"/>
    <x v="2"/>
    <x v="4"/>
    <n v="241"/>
    <n v="5"/>
    <n v="205954.15"/>
    <x v="1"/>
    <n v="204"/>
    <s v="0245"/>
    <n v="6"/>
    <s v="Villa"/>
    <s v="Bosaso"/>
    <d v="2026-02-02T00:00:00"/>
    <x v="0"/>
    <d v="2026-02-02T00:00:00"/>
  </r>
  <r>
    <s v="PRP0112"/>
    <d v="2025-12-08T00:00:00"/>
    <x v="0"/>
    <x v="5"/>
    <n v="165"/>
    <n v="3"/>
    <n v="71013.350000000006"/>
    <x v="0"/>
    <n v="260"/>
    <s v="0112"/>
    <n v="7"/>
    <s v="Apartment"/>
    <s v="Kismayo"/>
    <d v="2025-12-08T00:00:00"/>
    <x v="1"/>
    <d v="2025-12-08T00:00:00"/>
  </r>
  <r>
    <s v="Unknown03"/>
    <d v="2026-03-26T00:00:00"/>
    <x v="2"/>
    <x v="3"/>
    <n v="246"/>
    <n v="4"/>
    <n v="189700.22"/>
    <x v="2"/>
    <n v="152"/>
    <s v="wn03"/>
    <n v="6"/>
    <s v="Villa"/>
    <s v="Garowe"/>
    <d v="2026-03-26T00:00:00"/>
    <x v="0"/>
    <d v="2026-03-26T00:00:00"/>
  </r>
  <r>
    <s v="PRP0003"/>
    <d v="2026-05-15T00:00:00"/>
    <x v="3"/>
    <x v="5"/>
    <n v="269"/>
    <n v="5"/>
    <n v="117783.73"/>
    <x v="2"/>
    <n v="102"/>
    <s v="0003"/>
    <n v="7"/>
    <s v="House"/>
    <s v="Kismayo"/>
    <d v="2026-05-15T00:00:00"/>
    <x v="0"/>
    <d v="2026-05-15T00:00:00"/>
  </r>
  <r>
    <s v="PRP0177"/>
    <d v="2025-06-14T00:00:00"/>
    <x v="2"/>
    <x v="2"/>
    <n v="428"/>
    <n v="4"/>
    <n v="423951.96"/>
    <x v="1"/>
    <n v="437"/>
    <s v="0177"/>
    <n v="9"/>
    <s v="Villa"/>
    <s v="Mogadishu"/>
    <d v="2025-06-14T00:00:00"/>
    <x v="1"/>
    <d v="2025-06-14T00:00:00"/>
  </r>
  <r>
    <s v="PRP0081"/>
    <d v="2026-04-18T00:00:00"/>
    <x v="3"/>
    <x v="4"/>
    <n v="118"/>
    <n v="2"/>
    <n v="64706.06"/>
    <x v="0"/>
    <n v="129"/>
    <s v="0081"/>
    <n v="6"/>
    <s v="House"/>
    <s v="Bosaso"/>
    <d v="2026-04-18T00:00:00"/>
    <x v="0"/>
    <d v="2026-04-18T00:00:00"/>
  </r>
  <r>
    <s v="PRP0018"/>
    <d v="2026-06-14T00:00:00"/>
    <x v="1"/>
    <x v="4"/>
    <n v="375"/>
    <n v="0"/>
    <n v="360319.2"/>
    <x v="1"/>
    <n v="72"/>
    <s v="0018"/>
    <n v="6"/>
    <s v="Unknown"/>
    <s v="Bosaso"/>
    <d v="2026-06-14T00:00:00"/>
    <x v="0"/>
    <d v="2026-06-14T00:00:00"/>
  </r>
  <r>
    <s v="PRP0187"/>
    <d v="2026-07-13T00:00:00"/>
    <x v="5"/>
    <x v="1"/>
    <n v="295"/>
    <n v="0"/>
    <n v="258143.66"/>
    <x v="1"/>
    <n v="43"/>
    <s v="0187"/>
    <n v="6"/>
    <s v="Land"/>
    <s v="Baidoa"/>
    <d v="2026-07-13T00:00:00"/>
    <x v="0"/>
    <d v="2026-07-13T00:00:00"/>
  </r>
  <r>
    <s v="PRP0269"/>
    <d v="2025-07-27T00:00:00"/>
    <x v="3"/>
    <x v="0"/>
    <n v="91"/>
    <n v="2"/>
    <n v="67703.179999999993"/>
    <x v="0"/>
    <n v="394"/>
    <s v="0269"/>
    <n v="8"/>
    <s v="House"/>
    <s v="Hargeisa"/>
    <d v="2025-07-27T00:00:00"/>
    <x v="1"/>
    <d v="2025-07-27T00:00:00"/>
  </r>
  <r>
    <s v="PRP0072"/>
    <d v="2026-07-22T00:00:00"/>
    <x v="2"/>
    <x v="0"/>
    <n v="432"/>
    <n v="1"/>
    <n v="178260.23"/>
    <x v="2"/>
    <n v="34"/>
    <s v="0072"/>
    <n v="8"/>
    <s v="Villa"/>
    <s v="Hargeisa"/>
    <d v="2026-07-22T00:00:00"/>
    <x v="0"/>
    <d v="2026-07-22T00:00:00"/>
  </r>
  <r>
    <s v="PRP0196"/>
    <d v="2025-07-06T00:00:00"/>
    <x v="3"/>
    <x v="6"/>
    <n v="233"/>
    <n v="4"/>
    <n v="204504.39"/>
    <x v="1"/>
    <n v="415"/>
    <s v="0196"/>
    <n v="7"/>
    <s v="House"/>
    <s v="Unknown"/>
    <d v="2025-07-06T00:00:00"/>
    <x v="1"/>
    <d v="2025-07-06T00:00:00"/>
  </r>
  <r>
    <s v="PRP0155"/>
    <d v="2025-02-23T00:00:00"/>
    <x v="4"/>
    <x v="1"/>
    <n v="295"/>
    <n v="0"/>
    <n v="299493.28000000003"/>
    <x v="1"/>
    <n v="548"/>
    <s v="0155"/>
    <n v="6"/>
    <s v="Commercial"/>
    <s v="Baidoa"/>
    <d v="2025-02-23T00:00:00"/>
    <x v="1"/>
    <d v="2025-02-23T00:00:00"/>
  </r>
  <r>
    <s v="PRP0277"/>
    <d v="2025-11-13T00:00:00"/>
    <x v="4"/>
    <x v="1"/>
    <n v="428"/>
    <n v="0"/>
    <n v="244310.76"/>
    <x v="1"/>
    <n v="285"/>
    <s v="0277"/>
    <n v="6"/>
    <s v="Commercial"/>
    <s v="Baidoa"/>
    <d v="2025-11-13T00:00:00"/>
    <x v="1"/>
    <d v="2025-11-13T00:00:00"/>
  </r>
  <r>
    <s v="PRP0214"/>
    <d v="2025-04-04T00:00:00"/>
    <x v="1"/>
    <x v="0"/>
    <n v="160"/>
    <n v="1"/>
    <n v="90180.06"/>
    <x v="0"/>
    <n v="508"/>
    <s v="0214"/>
    <n v="8"/>
    <s v="Unknown"/>
    <s v="Hargeisa"/>
    <d v="2025-04-04T00:00:00"/>
    <x v="1"/>
    <d v="2025-04-04T00:00:00"/>
  </r>
  <r>
    <s v="PRP0220"/>
    <d v="2026-06-24T00:00:00"/>
    <x v="0"/>
    <x v="2"/>
    <n v="107"/>
    <n v="5"/>
    <n v="99170.67"/>
    <x v="0"/>
    <n v="62"/>
    <s v="0220"/>
    <n v="9"/>
    <s v="Apartment"/>
    <s v="Mogadishu"/>
    <d v="2026-06-24T00:00:00"/>
    <x v="0"/>
    <d v="2026-06-24T00:00:00"/>
  </r>
  <r>
    <s v="PRP0265"/>
    <d v="2025-11-26T00:00:00"/>
    <x v="0"/>
    <x v="0"/>
    <n v="127"/>
    <n v="3"/>
    <n v="86128.1"/>
    <x v="0"/>
    <n v="272"/>
    <s v="0265"/>
    <n v="8"/>
    <s v="Apartment"/>
    <s v="Hargeisa"/>
    <d v="2025-11-26T00:00:00"/>
    <x v="1"/>
    <d v="2025-11-26T00:00:00"/>
  </r>
  <r>
    <s v="PRP0089"/>
    <d v="2026-01-01T00:00:00"/>
    <x v="3"/>
    <x v="0"/>
    <n v="180"/>
    <n v="4"/>
    <n v="134013.76999999999"/>
    <x v="2"/>
    <n v="236"/>
    <s v="0089"/>
    <n v="8"/>
    <s v="House"/>
    <s v="Hargeisa"/>
    <d v="2026-01-01T00:00:00"/>
    <x v="0"/>
    <d v="2026-01-01T00:00:00"/>
  </r>
  <r>
    <s v="PRP0114"/>
    <d v="2026-02-13T00:00:00"/>
    <x v="2"/>
    <x v="0"/>
    <n v="295"/>
    <n v="5"/>
    <n v="358718.1"/>
    <x v="1"/>
    <n v="193"/>
    <s v="0114"/>
    <n v="8"/>
    <s v="Villa"/>
    <s v="Hargeisa"/>
    <d v="2026-02-13T00:00:00"/>
    <x v="0"/>
    <d v="2026-02-13T00:00:00"/>
  </r>
  <r>
    <s v="PRP0266"/>
    <d v="2026-01-17T00:00:00"/>
    <x v="0"/>
    <x v="2"/>
    <n v="80"/>
    <n v="5"/>
    <n v="49798.06"/>
    <x v="0"/>
    <n v="220"/>
    <s v="0266"/>
    <n v="9"/>
    <s v="Apartment"/>
    <s v="Mogadishu"/>
    <d v="2026-01-17T00:00:00"/>
    <x v="0"/>
    <d v="2026-01-17T00:00:00"/>
  </r>
  <r>
    <s v="PRP0029"/>
    <d v="2025-01-26T00:00:00"/>
    <x v="0"/>
    <x v="3"/>
    <n v="295"/>
    <n v="3"/>
    <n v="62007.71"/>
    <x v="0"/>
    <n v="576"/>
    <s v="0029"/>
    <n v="6"/>
    <s v="Apartment"/>
    <s v="Garowe"/>
    <d v="2025-01-26T00:00:00"/>
    <x v="1"/>
    <d v="2025-01-26T00:00:00"/>
  </r>
  <r>
    <s v="PRP0236"/>
    <d v="2025-03-22T00:00:00"/>
    <x v="5"/>
    <x v="0"/>
    <n v="382"/>
    <n v="0"/>
    <n v="178260.23"/>
    <x v="2"/>
    <n v="521"/>
    <s v="0236"/>
    <n v="8"/>
    <s v="Land"/>
    <s v="Hargeisa"/>
    <d v="2025-03-22T00:00:00"/>
    <x v="1"/>
    <d v="2025-03-22T00:00:00"/>
  </r>
  <r>
    <s v="PRP0175"/>
    <d v="2025-11-29T00:00:00"/>
    <x v="3"/>
    <x v="2"/>
    <n v="135"/>
    <n v="6"/>
    <n v="120945.17"/>
    <x v="2"/>
    <n v="269"/>
    <s v="0175"/>
    <n v="9"/>
    <s v="House"/>
    <s v="Mogadishu"/>
    <d v="2025-11-29T00:00:00"/>
    <x v="1"/>
    <d v="2025-11-29T00:00:00"/>
  </r>
  <r>
    <s v="PRP0108"/>
    <d v="2025-01-16T00:00:00"/>
    <x v="3"/>
    <x v="4"/>
    <n v="125"/>
    <n v="3"/>
    <n v="84348.09"/>
    <x v="0"/>
    <n v="586"/>
    <s v="0108"/>
    <n v="6"/>
    <s v="House"/>
    <s v="Bosaso"/>
    <d v="2025-01-16T00:00:00"/>
    <x v="1"/>
    <d v="2025-01-16T00:00:00"/>
  </r>
  <r>
    <s v="PRP0050"/>
    <d v="2026-04-15T00:00:00"/>
    <x v="2"/>
    <x v="0"/>
    <n v="450"/>
    <n v="6"/>
    <n v="283192.93"/>
    <x v="1"/>
    <n v="132"/>
    <s v="0050"/>
    <n v="8"/>
    <s v="Villa"/>
    <s v="Hargeisa"/>
    <d v="2026-04-15T00:00:00"/>
    <x v="0"/>
    <d v="2026-04-15T00:00:00"/>
  </r>
  <r>
    <s v="PRP0193"/>
    <d v="2025-03-11T00:00:00"/>
    <x v="5"/>
    <x v="4"/>
    <n v="623"/>
    <n v="0"/>
    <n v="258642.14"/>
    <x v="1"/>
    <n v="532"/>
    <s v="0193"/>
    <n v="6"/>
    <s v="Land"/>
    <s v="Bosaso"/>
    <d v="2025-03-11T00:00:00"/>
    <x v="1"/>
    <d v="2025-03-11T00:00:00"/>
  </r>
  <r>
    <s v="Unknown04"/>
    <d v="2026-07-04T00:00:00"/>
    <x v="4"/>
    <x v="1"/>
    <n v="64"/>
    <n v="0"/>
    <n v="33565.629999999997"/>
    <x v="0"/>
    <n v="52"/>
    <s v="wn04"/>
    <n v="6"/>
    <s v="Commercial"/>
    <s v="Baidoa"/>
    <d v="2026-07-04T00:00:00"/>
    <x v="0"/>
    <d v="2026-07-04T00:00:00"/>
  </r>
  <r>
    <s v="PRP0256"/>
    <d v="2025-08-22T00:00:00"/>
    <x v="0"/>
    <x v="6"/>
    <n v="147"/>
    <n v="2"/>
    <n v="178260.23"/>
    <x v="2"/>
    <n v="368"/>
    <s v="0256"/>
    <n v="7"/>
    <s v="Apartment"/>
    <s v="Unknown"/>
    <d v="2025-08-22T00:00:00"/>
    <x v="1"/>
    <d v="2025-08-22T00:00:00"/>
  </r>
  <r>
    <s v="Unknown05"/>
    <d v="2025-07-18T00:00:00"/>
    <x v="0"/>
    <x v="2"/>
    <n v="103"/>
    <n v="5"/>
    <n v="66440.800000000003"/>
    <x v="0"/>
    <n v="403"/>
    <s v="wn05"/>
    <n v="9"/>
    <s v="Apartment"/>
    <s v="Mogadishu"/>
    <d v="2025-07-18T00:00:00"/>
    <x v="1"/>
    <d v="2025-07-18T00:00:00"/>
  </r>
  <r>
    <s v="PRP0153"/>
    <d v="2026-06-28T00:00:00"/>
    <x v="2"/>
    <x v="2"/>
    <n v="295"/>
    <n v="2"/>
    <n v="335495.55"/>
    <x v="1"/>
    <n v="58"/>
    <s v="0153"/>
    <n v="9"/>
    <s v="Villa"/>
    <s v="Mogadishu"/>
    <d v="2026-06-28T00:00:00"/>
    <x v="0"/>
    <d v="2026-06-28T00:00:00"/>
  </r>
  <r>
    <s v="PRP0242"/>
    <d v="2025-09-13T00:00:00"/>
    <x v="0"/>
    <x v="1"/>
    <n v="117"/>
    <n v="6"/>
    <n v="178260.23"/>
    <x v="2"/>
    <n v="346"/>
    <s v="0242"/>
    <n v="6"/>
    <s v="Apartment"/>
    <s v="Baidoa"/>
    <d v="2025-09-13T00:00:00"/>
    <x v="1"/>
    <d v="2025-09-13T00:00:00"/>
  </r>
  <r>
    <s v="PRP0191"/>
    <d v="2025-12-11T00:00:00"/>
    <x v="0"/>
    <x v="6"/>
    <n v="50"/>
    <n v="3"/>
    <n v="44833.77"/>
    <x v="0"/>
    <n v="257"/>
    <s v="0191"/>
    <n v="7"/>
    <s v="Apartment"/>
    <s v="Unknown"/>
    <d v="2025-12-11T00:00:00"/>
    <x v="1"/>
    <d v="2025-12-11T00:00:00"/>
  </r>
  <r>
    <s v="PRP0217"/>
    <d v="2026-06-21T00:00:00"/>
    <x v="3"/>
    <x v="0"/>
    <n v="228"/>
    <n v="1"/>
    <n v="133143.54"/>
    <x v="2"/>
    <n v="65"/>
    <s v="0217"/>
    <n v="8"/>
    <s v="House"/>
    <s v="Hargeisa"/>
    <d v="2026-06-21T00:00:00"/>
    <x v="0"/>
    <d v="2026-06-21T00:00:00"/>
  </r>
  <r>
    <s v="PRP0032"/>
    <d v="2025-10-28T00:00:00"/>
    <x v="2"/>
    <x v="2"/>
    <n v="317"/>
    <n v="3"/>
    <n v="384484.34"/>
    <x v="1"/>
    <n v="301"/>
    <s v="0032"/>
    <n v="9"/>
    <s v="Villa"/>
    <s v="Mogadishu"/>
    <d v="2025-10-28T00:00:00"/>
    <x v="1"/>
    <d v="2025-10-28T00:00:00"/>
  </r>
  <r>
    <s v="PRP0158"/>
    <d v="2026-07-12T00:00:00"/>
    <x v="0"/>
    <x v="5"/>
    <n v="156"/>
    <n v="6"/>
    <n v="79557.259999999995"/>
    <x v="0"/>
    <n v="44"/>
    <s v="0158"/>
    <n v="7"/>
    <s v="Apartment"/>
    <s v="Kismayo"/>
    <d v="2026-07-12T00:00:00"/>
    <x v="0"/>
    <d v="2026-07-12T00:00:00"/>
  </r>
  <r>
    <s v="PRP0020"/>
    <d v="2025-02-17T00:00:00"/>
    <x v="5"/>
    <x v="6"/>
    <n v="647"/>
    <n v="0"/>
    <n v="220606.86"/>
    <x v="1"/>
    <n v="554"/>
    <s v="0020"/>
    <n v="7"/>
    <s v="Land"/>
    <s v="Unknown"/>
    <d v="2025-02-17T00:00:00"/>
    <x v="1"/>
    <d v="2025-02-17T00:00:00"/>
  </r>
  <r>
    <s v="PRP0250"/>
    <d v="2026-02-26T00:00:00"/>
    <x v="0"/>
    <x v="4"/>
    <n v="85"/>
    <n v="1"/>
    <n v="46503.12"/>
    <x v="0"/>
    <n v="180"/>
    <s v="0250"/>
    <n v="6"/>
    <s v="Apartment"/>
    <s v="Bosaso"/>
    <d v="2026-02-26T00:00:00"/>
    <x v="0"/>
    <d v="2026-02-26T00:00:00"/>
  </r>
  <r>
    <s v="PRP0092"/>
    <d v="2025-05-08T00:00:00"/>
    <x v="2"/>
    <x v="4"/>
    <n v="254"/>
    <n v="6"/>
    <n v="145052.32"/>
    <x v="2"/>
    <n v="474"/>
    <s v="0092"/>
    <n v="6"/>
    <s v="Villa"/>
    <s v="Bosaso"/>
    <d v="2025-05-08T00:00:00"/>
    <x v="1"/>
    <d v="2025-05-08T00:00:00"/>
  </r>
  <r>
    <s v="PRP0286"/>
    <d v="2025-03-05T00:00:00"/>
    <x v="2"/>
    <x v="4"/>
    <n v="185"/>
    <n v="2"/>
    <n v="103458.47"/>
    <x v="2"/>
    <n v="538"/>
    <s v="0286"/>
    <n v="6"/>
    <s v="Villa"/>
    <s v="Bosaso"/>
    <d v="2025-03-05T00:00:00"/>
    <x v="1"/>
    <d v="2025-03-05T00:00:00"/>
  </r>
  <r>
    <s v="PRP0207"/>
    <d v="2026-07-15T00:00:00"/>
    <x v="5"/>
    <x v="3"/>
    <n v="699"/>
    <n v="0"/>
    <n v="258452.71"/>
    <x v="1"/>
    <n v="41"/>
    <s v="0207"/>
    <n v="6"/>
    <s v="Land"/>
    <s v="Garowe"/>
    <d v="2026-07-15T00:00:00"/>
    <x v="0"/>
    <d v="2026-07-15T00:00:00"/>
  </r>
  <r>
    <s v="PRP0183"/>
    <d v="2025-07-03T00:00:00"/>
    <x v="0"/>
    <x v="3"/>
    <n v="91"/>
    <n v="4"/>
    <n v="39330.03"/>
    <x v="0"/>
    <n v="418"/>
    <s v="0183"/>
    <n v="6"/>
    <s v="Apartment"/>
    <s v="Garowe"/>
    <d v="2025-07-03T00:00:00"/>
    <x v="1"/>
    <d v="2025-07-03T00:00:00"/>
  </r>
  <r>
    <s v="PRP0146"/>
    <d v="2025-05-20T00:00:00"/>
    <x v="4"/>
    <x v="2"/>
    <n v="196"/>
    <n v="0"/>
    <n v="180591.82"/>
    <x v="2"/>
    <n v="462"/>
    <s v="0146"/>
    <n v="9"/>
    <s v="Commercial"/>
    <s v="Mogadishu"/>
    <d v="2025-05-20T00:00:00"/>
    <x v="1"/>
    <d v="2025-05-20T00:00:00"/>
  </r>
  <r>
    <s v="PRP0040"/>
    <d v="2026-01-12T00:00:00"/>
    <x v="0"/>
    <x v="2"/>
    <n v="133"/>
    <n v="5"/>
    <n v="105680.17"/>
    <x v="2"/>
    <n v="225"/>
    <s v="0040"/>
    <n v="9"/>
    <s v="Apartment"/>
    <s v="Mogadishu"/>
    <d v="2026-01-12T00:00:00"/>
    <x v="0"/>
    <d v="2026-01-12T00:00:00"/>
  </r>
  <r>
    <s v="PRP0182"/>
    <d v="2025-09-05T00:00:00"/>
    <x v="2"/>
    <x v="2"/>
    <n v="211"/>
    <n v="2"/>
    <n v="209482.86"/>
    <x v="1"/>
    <n v="354"/>
    <s v="0182"/>
    <n v="9"/>
    <s v="Villa"/>
    <s v="Mogadishu"/>
    <d v="2025-09-05T00:00:00"/>
    <x v="1"/>
    <d v="2025-09-05T00:00:00"/>
  </r>
  <r>
    <s v="PRP0268"/>
    <s v="Unknown"/>
    <x v="5"/>
    <x v="1"/>
    <n v="1078"/>
    <n v="0"/>
    <n v="340698.41"/>
    <x v="1"/>
    <s v="Unknown"/>
    <s v="0268"/>
    <n v="6"/>
    <s v="Land"/>
    <s v="Baidoa"/>
    <s v="Unknown"/>
    <x v="2"/>
    <s v=""/>
  </r>
  <r>
    <s v="PRP0262"/>
    <d v="2025-03-06T00:00:00"/>
    <x v="0"/>
    <x v="2"/>
    <n v="172"/>
    <n v="3"/>
    <n v="170994.69"/>
    <x v="2"/>
    <n v="537"/>
    <s v="0262"/>
    <n v="9"/>
    <s v="Apartment"/>
    <s v="Mogadishu"/>
    <d v="2025-03-06T00:00:00"/>
    <x v="1"/>
    <d v="2025-03-06T00:00:00"/>
  </r>
  <r>
    <s v="PRP0031"/>
    <d v="2026-05-15T00:00:00"/>
    <x v="5"/>
    <x v="3"/>
    <n v="883"/>
    <n v="0"/>
    <n v="375425.55"/>
    <x v="1"/>
    <n v="102"/>
    <s v="0031"/>
    <n v="6"/>
    <s v="Land"/>
    <s v="Garowe"/>
    <d v="2026-05-15T00:00:00"/>
    <x v="0"/>
    <d v="2026-05-15T00:00:00"/>
  </r>
  <r>
    <s v="PRP0080"/>
    <d v="2026-02-17T00:00:00"/>
    <x v="4"/>
    <x v="2"/>
    <n v="69"/>
    <n v="0"/>
    <n v="91262.04"/>
    <x v="0"/>
    <n v="189"/>
    <s v="0080"/>
    <n v="9"/>
    <s v="Commercial"/>
    <s v="Mogadishu"/>
    <d v="2026-02-17T00:00:00"/>
    <x v="0"/>
    <d v="2026-02-17T00:00:00"/>
  </r>
  <r>
    <s v="PRP0173"/>
    <s v="Unknown"/>
    <x v="3"/>
    <x v="2"/>
    <n v="166"/>
    <n v="2"/>
    <n v="133326.93"/>
    <x v="2"/>
    <s v="Unknown"/>
    <s v="0173"/>
    <n v="9"/>
    <s v="House"/>
    <s v="Mogadishu"/>
    <s v="Unknown"/>
    <x v="2"/>
    <s v=""/>
  </r>
  <r>
    <s v="PRP0248"/>
    <d v="2025-11-10T00:00:00"/>
    <x v="5"/>
    <x v="1"/>
    <n v="595"/>
    <n v="0"/>
    <n v="149841.1"/>
    <x v="2"/>
    <n v="288"/>
    <s v="0248"/>
    <n v="6"/>
    <s v="Land"/>
    <s v="Baidoa"/>
    <d v="2025-11-10T00:00:00"/>
    <x v="1"/>
    <d v="2025-11-10T00:00:00"/>
  </r>
  <r>
    <s v="PRP0136"/>
    <d v="2026-01-28T00:00:00"/>
    <x v="0"/>
    <x v="2"/>
    <n v="89"/>
    <n v="6"/>
    <n v="64626.19"/>
    <x v="0"/>
    <n v="209"/>
    <s v="0136"/>
    <n v="9"/>
    <s v="Apartment"/>
    <s v="Mogadishu"/>
    <d v="2026-01-28T00:00:00"/>
    <x v="0"/>
    <d v="2026-01-28T00:00:00"/>
  </r>
  <r>
    <s v="PRP0079"/>
    <d v="2025-02-13T00:00:00"/>
    <x v="5"/>
    <x v="2"/>
    <n v="586"/>
    <n v="0"/>
    <n v="238979.75"/>
    <x v="1"/>
    <n v="558"/>
    <s v="0079"/>
    <n v="9"/>
    <s v="Land"/>
    <s v="Mogadishu"/>
    <d v="2025-02-13T00:00:00"/>
    <x v="1"/>
    <d v="2025-02-13T00:00:00"/>
  </r>
  <r>
    <s v="PRP0225"/>
    <d v="2026-04-02T00:00:00"/>
    <x v="0"/>
    <x v="2"/>
    <n v="145"/>
    <n v="2"/>
    <n v="102546.99"/>
    <x v="2"/>
    <n v="145"/>
    <s v="0225"/>
    <n v="9"/>
    <s v="Apartment"/>
    <s v="Mogadishu"/>
    <d v="2026-04-02T00:00:00"/>
    <x v="0"/>
    <d v="2026-04-02T00:00:00"/>
  </r>
  <r>
    <s v="PRP0057"/>
    <d v="2026-06-25T00:00:00"/>
    <x v="5"/>
    <x v="5"/>
    <n v="887"/>
    <n v="0"/>
    <n v="330469.31"/>
    <x v="1"/>
    <n v="61"/>
    <s v="0057"/>
    <n v="7"/>
    <s v="Land"/>
    <s v="Kismayo"/>
    <d v="2026-06-25T00:00:00"/>
    <x v="0"/>
    <d v="2026-06-25T00:00:00"/>
  </r>
  <r>
    <s v="PRP0181"/>
    <d v="2025-08-14T00:00:00"/>
    <x v="3"/>
    <x v="2"/>
    <n v="297"/>
    <n v="4"/>
    <n v="310767.87"/>
    <x v="1"/>
    <n v="376"/>
    <s v="0181"/>
    <n v="9"/>
    <s v="House"/>
    <s v="Mogadishu"/>
    <d v="2025-08-14T00:00:00"/>
    <x v="1"/>
    <d v="2025-08-14T00:00:00"/>
  </r>
  <r>
    <s v="PRP0027"/>
    <d v="2026-01-15T00:00:00"/>
    <x v="3"/>
    <x v="5"/>
    <n v="291"/>
    <n v="3"/>
    <n v="157439.37"/>
    <x v="2"/>
    <n v="222"/>
    <s v="0027"/>
    <n v="7"/>
    <s v="House"/>
    <s v="Kismayo"/>
    <d v="2026-01-15T00:00:00"/>
    <x v="0"/>
    <d v="2026-01-15T00:00:00"/>
  </r>
  <r>
    <s v="PRP0247"/>
    <d v="2025-06-27T00:00:00"/>
    <x v="3"/>
    <x v="3"/>
    <n v="235"/>
    <n v="3"/>
    <n v="111417.31"/>
    <x v="2"/>
    <n v="424"/>
    <s v="0247"/>
    <n v="6"/>
    <s v="House"/>
    <s v="Garowe"/>
    <d v="2025-06-27T00:00:00"/>
    <x v="1"/>
    <d v="2025-06-27T00:00:00"/>
  </r>
  <r>
    <s v="PRP0131"/>
    <d v="2025-07-06T00:00:00"/>
    <x v="0"/>
    <x v="3"/>
    <n v="150"/>
    <n v="5"/>
    <n v="67235.58"/>
    <x v="0"/>
    <n v="415"/>
    <s v="0131"/>
    <n v="6"/>
    <s v="Apartment"/>
    <s v="Garowe"/>
    <d v="2025-07-06T00:00:00"/>
    <x v="1"/>
    <d v="2025-07-06T00:00:00"/>
  </r>
  <r>
    <s v="PRP0051"/>
    <d v="2025-03-16T00:00:00"/>
    <x v="5"/>
    <x v="1"/>
    <n v="843"/>
    <n v="0"/>
    <n v="253248.66"/>
    <x v="1"/>
    <n v="527"/>
    <s v="0051"/>
    <n v="6"/>
    <s v="Land"/>
    <s v="Baidoa"/>
    <d v="2025-03-16T00:00:00"/>
    <x v="1"/>
    <d v="2025-03-16T00:00:00"/>
  </r>
  <r>
    <s v="PRP0139"/>
    <d v="2026-03-08T00:00:00"/>
    <x v="0"/>
    <x v="4"/>
    <n v="124"/>
    <n v="3"/>
    <n v="62620.84"/>
    <x v="0"/>
    <n v="170"/>
    <s v="0139"/>
    <n v="6"/>
    <s v="Apartment"/>
    <s v="Bosaso"/>
    <d v="2026-03-08T00:00:00"/>
    <x v="0"/>
    <d v="2026-03-08T00:00:00"/>
  </r>
  <r>
    <s v="PRP0110"/>
    <d v="2026-06-21T00:00:00"/>
    <x v="1"/>
    <x v="0"/>
    <n v="167"/>
    <n v="3"/>
    <n v="91681.95"/>
    <x v="0"/>
    <n v="65"/>
    <s v="0110"/>
    <n v="8"/>
    <s v="Unknown"/>
    <s v="Hargeisa"/>
    <d v="2026-06-21T00:00:00"/>
    <x v="0"/>
    <d v="2026-06-21T00:00:00"/>
  </r>
  <r>
    <s v="PRP0278"/>
    <d v="2026-02-03T00:00:00"/>
    <x v="4"/>
    <x v="4"/>
    <n v="231"/>
    <n v="3"/>
    <n v="214717.06"/>
    <x v="1"/>
    <n v="203"/>
    <s v="0278"/>
    <n v="6"/>
    <s v="Commercial"/>
    <s v="Bosaso"/>
    <d v="2026-02-03T00:00:00"/>
    <x v="0"/>
    <d v="2026-02-03T00:00:00"/>
  </r>
  <r>
    <s v="PRP0021"/>
    <d v="2026-04-16T00:00:00"/>
    <x v="0"/>
    <x v="2"/>
    <n v="112"/>
    <n v="3"/>
    <n v="178260.23"/>
    <x v="2"/>
    <n v="131"/>
    <s v="0021"/>
    <n v="9"/>
    <s v="Apartment"/>
    <s v="Mogadishu"/>
    <d v="2026-04-16T00:00:00"/>
    <x v="0"/>
    <d v="2026-04-16T00:00:00"/>
  </r>
  <r>
    <s v="PRP0090"/>
    <d v="2025-07-30T00:00:00"/>
    <x v="0"/>
    <x v="2"/>
    <n v="97"/>
    <n v="6"/>
    <n v="58265.18"/>
    <x v="0"/>
    <n v="391"/>
    <s v="0090"/>
    <n v="9"/>
    <s v="Apartment"/>
    <s v="Mogadishu"/>
    <d v="2025-07-30T00:00:00"/>
    <x v="1"/>
    <d v="2025-07-30T00:00:00"/>
  </r>
  <r>
    <s v="PRP0083"/>
    <d v="2025-08-09T00:00:00"/>
    <x v="5"/>
    <x v="0"/>
    <n v="934"/>
    <n v="0"/>
    <n v="432360.21"/>
    <x v="1"/>
    <n v="381"/>
    <s v="0083"/>
    <n v="8"/>
    <s v="Land"/>
    <s v="Hargeisa"/>
    <d v="2025-08-09T00:00:00"/>
    <x v="1"/>
    <d v="2025-08-09T00:00:00"/>
  </r>
  <r>
    <s v="PRP0240"/>
    <s v="Unknown"/>
    <x v="3"/>
    <x v="4"/>
    <n v="194"/>
    <n v="1"/>
    <n v="135462.84"/>
    <x v="2"/>
    <s v="Unknown"/>
    <s v="0240"/>
    <n v="6"/>
    <s v="House"/>
    <s v="Bosaso"/>
    <s v="Unknown"/>
    <x v="2"/>
    <s v=""/>
  </r>
  <r>
    <s v="PRP0009"/>
    <d v="2026-01-23T00:00:00"/>
    <x v="0"/>
    <x v="2"/>
    <n v="77"/>
    <n v="3"/>
    <n v="70238.490000000005"/>
    <x v="0"/>
    <n v="214"/>
    <s v="0009"/>
    <n v="9"/>
    <s v="Apartment"/>
    <s v="Mogadishu"/>
    <d v="2026-01-23T00:00:00"/>
    <x v="0"/>
    <d v="2026-01-23T00:00:00"/>
  </r>
  <r>
    <s v="PRP0243"/>
    <d v="2025-12-03T00:00:00"/>
    <x v="4"/>
    <x v="2"/>
    <n v="229"/>
    <n v="3"/>
    <n v="298104.53000000003"/>
    <x v="1"/>
    <n v="265"/>
    <s v="0243"/>
    <n v="9"/>
    <s v="Commercial"/>
    <s v="Mogadishu"/>
    <d v="2025-12-03T00:00:00"/>
    <x v="1"/>
    <d v="2025-12-03T00:00:00"/>
  </r>
  <r>
    <s v="PRP0138"/>
    <d v="2025-07-06T00:00:00"/>
    <x v="3"/>
    <x v="3"/>
    <n v="161"/>
    <n v="4"/>
    <n v="110245.28"/>
    <x v="2"/>
    <n v="415"/>
    <s v="0138"/>
    <n v="6"/>
    <s v="House"/>
    <s v="Garowe"/>
    <d v="2025-07-06T00:00:00"/>
    <x v="1"/>
    <d v="2025-07-06T00:00:00"/>
  </r>
  <r>
    <s v="PRP0154"/>
    <d v="2026-06-13T00:00:00"/>
    <x v="4"/>
    <x v="6"/>
    <n v="206"/>
    <n v="0"/>
    <n v="168595.17"/>
    <x v="2"/>
    <n v="73"/>
    <s v="0154"/>
    <n v="7"/>
    <s v="Commercial"/>
    <s v="Unknown"/>
    <d v="2026-06-13T00:00:00"/>
    <x v="0"/>
    <d v="2026-06-13T00:00:00"/>
  </r>
  <r>
    <s v="PRP0258"/>
    <d v="2026-01-14T00:00:00"/>
    <x v="0"/>
    <x v="3"/>
    <n v="116"/>
    <n v="3"/>
    <n v="73511.17"/>
    <x v="0"/>
    <n v="223"/>
    <s v="0258"/>
    <n v="6"/>
    <s v="Apartment"/>
    <s v="Garowe"/>
    <d v="2026-01-14T00:00:00"/>
    <x v="0"/>
    <d v="2026-01-14T00:00:00"/>
  </r>
  <r>
    <s v="PRP0234"/>
    <d v="2025-06-05T00:00:00"/>
    <x v="0"/>
    <x v="1"/>
    <n v="141"/>
    <n v="6"/>
    <n v="64690.11"/>
    <x v="0"/>
    <n v="446"/>
    <s v="0234"/>
    <n v="6"/>
    <s v="Apartment"/>
    <s v="Baidoa"/>
    <d v="2025-06-05T00:00:00"/>
    <x v="1"/>
    <d v="2025-06-05T00:00:00"/>
  </r>
  <r>
    <s v="PRP0101"/>
    <d v="2025-01-23T00:00:00"/>
    <x v="4"/>
    <x v="3"/>
    <n v="271"/>
    <n v="0"/>
    <n v="265541.71000000002"/>
    <x v="1"/>
    <n v="579"/>
    <s v="0101"/>
    <n v="6"/>
    <s v="Commercial"/>
    <s v="Garowe"/>
    <d v="2025-01-23T00:00:00"/>
    <x v="1"/>
    <d v="2025-01-23T00:00:00"/>
  </r>
  <r>
    <s v="PRP0104"/>
    <d v="2025-10-21T00:00:00"/>
    <x v="4"/>
    <x v="0"/>
    <n v="448"/>
    <n v="0"/>
    <n v="445115.15"/>
    <x v="1"/>
    <n v="308"/>
    <s v="0104"/>
    <n v="8"/>
    <s v="Commercial"/>
    <s v="Hargeisa"/>
    <d v="2025-10-21T00:00:00"/>
    <x v="1"/>
    <d v="2025-10-21T00:00:00"/>
  </r>
  <r>
    <s v="PRP0244"/>
    <d v="2025-02-02T00:00:00"/>
    <x v="2"/>
    <x v="2"/>
    <n v="415"/>
    <n v="2"/>
    <n v="445052.71"/>
    <x v="1"/>
    <n v="569"/>
    <s v="0244"/>
    <n v="9"/>
    <s v="Villa"/>
    <s v="Mogadishu"/>
    <d v="2025-02-02T00:00:00"/>
    <x v="1"/>
    <d v="2025-02-02T00:00:00"/>
  </r>
  <r>
    <s v="Unknown06"/>
    <d v="2025-01-09T00:00:00"/>
    <x v="0"/>
    <x v="0"/>
    <n v="154"/>
    <n v="3"/>
    <n v="116015.65"/>
    <x v="2"/>
    <n v="593"/>
    <s v="wn06"/>
    <n v="8"/>
    <s v="Apartment"/>
    <s v="Hargeisa"/>
    <d v="2025-01-09T00:00:00"/>
    <x v="1"/>
    <d v="2025-01-09T00:00:00"/>
  </r>
  <r>
    <s v="PRP0259"/>
    <d v="2025-10-01T00:00:00"/>
    <x v="0"/>
    <x v="0"/>
    <n v="61"/>
    <n v="1"/>
    <n v="46892.15"/>
    <x v="0"/>
    <n v="328"/>
    <s v="0259"/>
    <n v="8"/>
    <s v="Apartment"/>
    <s v="Hargeisa"/>
    <d v="2025-10-01T00:00:00"/>
    <x v="1"/>
    <d v="2025-10-01T00:00:00"/>
  </r>
  <r>
    <s v="PRP0228"/>
    <d v="2025-05-21T00:00:00"/>
    <x v="4"/>
    <x v="4"/>
    <n v="270"/>
    <n v="0"/>
    <n v="262440.46000000002"/>
    <x v="1"/>
    <n v="461"/>
    <s v="0228"/>
    <n v="6"/>
    <s v="Commercial"/>
    <s v="Bosaso"/>
    <d v="2025-05-21T00:00:00"/>
    <x v="1"/>
    <d v="2025-05-21T00:00:00"/>
  </r>
  <r>
    <s v="PRP0246"/>
    <d v="2025-08-30T00:00:00"/>
    <x v="1"/>
    <x v="2"/>
    <n v="166"/>
    <n v="5"/>
    <n v="155168.88"/>
    <x v="2"/>
    <n v="360"/>
    <s v="0246"/>
    <n v="9"/>
    <s v="Unknown"/>
    <s v="Mogadishu"/>
    <d v="2025-08-30T00:00:00"/>
    <x v="1"/>
    <d v="2025-08-30T00:00:00"/>
  </r>
  <r>
    <s v="PRP0102"/>
    <d v="2026-05-01T00:00:00"/>
    <x v="0"/>
    <x v="4"/>
    <n v="135"/>
    <n v="2"/>
    <n v="73674.14"/>
    <x v="0"/>
    <n v="116"/>
    <s v="0102"/>
    <n v="6"/>
    <s v="Apartment"/>
    <s v="Bosaso"/>
    <d v="2026-05-01T00:00:00"/>
    <x v="0"/>
    <d v="2026-05-01T00:00:00"/>
  </r>
  <r>
    <s v="PRP0068"/>
    <d v="2026-05-16T00:00:00"/>
    <x v="5"/>
    <x v="2"/>
    <n v="984"/>
    <n v="0"/>
    <n v="459356.74"/>
    <x v="1"/>
    <n v="101"/>
    <s v="0068"/>
    <n v="9"/>
    <s v="Land"/>
    <s v="Mogadishu"/>
    <d v="2026-05-16T00:00:00"/>
    <x v="0"/>
    <d v="2026-05-16T00:00:00"/>
  </r>
  <r>
    <s v="PRP0127"/>
    <d v="2025-05-07T00:00:00"/>
    <x v="0"/>
    <x v="0"/>
    <n v="168"/>
    <n v="3"/>
    <n v="92416.46"/>
    <x v="0"/>
    <n v="475"/>
    <s v="0127"/>
    <n v="8"/>
    <s v="Apartment"/>
    <s v="Hargeisa"/>
    <d v="2025-05-07T00:00:00"/>
    <x v="1"/>
    <d v="2025-05-07T00:00:00"/>
  </r>
  <r>
    <s v="PRP0252"/>
    <d v="2025-01-08T00:00:00"/>
    <x v="5"/>
    <x v="2"/>
    <n v="813"/>
    <n v="0"/>
    <n v="414242.22"/>
    <x v="1"/>
    <n v="594"/>
    <s v="0252"/>
    <n v="9"/>
    <s v="Land"/>
    <s v="Mogadishu"/>
    <d v="2025-01-08T00:00:00"/>
    <x v="1"/>
    <d v="2025-01-08T00:00:00"/>
  </r>
  <r>
    <s v="PRP0170"/>
    <d v="2026-03-04T00:00:00"/>
    <x v="5"/>
    <x v="6"/>
    <n v="380"/>
    <n v="0"/>
    <n v="143686.20000000001"/>
    <x v="2"/>
    <n v="174"/>
    <s v="0170"/>
    <n v="7"/>
    <s v="Land"/>
    <s v="Unknown"/>
    <d v="2026-03-04T00:00:00"/>
    <x v="0"/>
    <d v="2026-03-04T00:00:00"/>
  </r>
  <r>
    <s v="PRP0283"/>
    <d v="2025-06-29T00:00:00"/>
    <x v="2"/>
    <x v="2"/>
    <n v="358"/>
    <n v="2"/>
    <n v="438404.42"/>
    <x v="1"/>
    <n v="422"/>
    <s v="0283"/>
    <n v="9"/>
    <s v="Villa"/>
    <s v="Mogadishu"/>
    <d v="2025-06-29T00:00:00"/>
    <x v="1"/>
    <d v="2025-06-29T00:00:00"/>
  </r>
  <r>
    <s v="PRP0185"/>
    <d v="2026-05-09T00:00:00"/>
    <x v="2"/>
    <x v="1"/>
    <n v="371"/>
    <n v="2"/>
    <n v="203546.79"/>
    <x v="1"/>
    <n v="108"/>
    <s v="0185"/>
    <n v="6"/>
    <s v="Villa"/>
    <s v="Baidoa"/>
    <d v="2026-05-09T00:00:00"/>
    <x v="0"/>
    <d v="2026-05-09T00:00:00"/>
  </r>
  <r>
    <s v="PRP0113"/>
    <d v="2026-06-09T00:00:00"/>
    <x v="0"/>
    <x v="2"/>
    <n v="115"/>
    <n v="6"/>
    <n v="72611.19"/>
    <x v="0"/>
    <n v="77"/>
    <s v="0113"/>
    <n v="9"/>
    <s v="Apartment"/>
    <s v="Mogadishu"/>
    <d v="2026-06-09T00:00:00"/>
    <x v="0"/>
    <d v="2026-06-09T00:00:00"/>
  </r>
  <r>
    <s v="PRP0047"/>
    <d v="2025-10-15T00:00:00"/>
    <x v="4"/>
    <x v="2"/>
    <n v="493"/>
    <n v="0"/>
    <n v="427642.06"/>
    <x v="1"/>
    <n v="314"/>
    <s v="0047"/>
    <n v="9"/>
    <s v="Commercial"/>
    <s v="Mogadishu"/>
    <d v="2025-10-15T00:00:00"/>
    <x v="1"/>
    <d v="2025-10-15T00:00:00"/>
  </r>
  <r>
    <s v="PRP0054"/>
    <d v="2025-10-27T00:00:00"/>
    <x v="5"/>
    <x v="1"/>
    <n v="1076"/>
    <n v="0"/>
    <n v="334622.21999999997"/>
    <x v="1"/>
    <n v="302"/>
    <s v="0054"/>
    <n v="6"/>
    <s v="Land"/>
    <s v="Baidoa"/>
    <d v="2025-10-27T00:00:00"/>
    <x v="1"/>
    <d v="2025-10-27T00:00:00"/>
  </r>
  <r>
    <s v="PRP0281"/>
    <d v="2026-06-02T00:00:00"/>
    <x v="0"/>
    <x v="0"/>
    <n v="104"/>
    <n v="5"/>
    <n v="56655.14"/>
    <x v="0"/>
    <n v="84"/>
    <s v="0281"/>
    <n v="8"/>
    <s v="Apartment"/>
    <s v="Hargeisa"/>
    <d v="2026-06-02T00:00:00"/>
    <x v="0"/>
    <d v="2026-06-02T00:00:00"/>
  </r>
  <r>
    <s v="PRP0205"/>
    <d v="2025-11-25T00:00:00"/>
    <x v="1"/>
    <x v="2"/>
    <n v="235"/>
    <n v="0"/>
    <n v="288826.65000000002"/>
    <x v="1"/>
    <n v="273"/>
    <s v="0205"/>
    <n v="9"/>
    <s v="Unknown"/>
    <s v="Mogadishu"/>
    <d v="2025-11-25T00:00:00"/>
    <x v="1"/>
    <d v="2025-11-25T00:00:00"/>
  </r>
  <r>
    <s v="PRP0140"/>
    <d v="2025-01-13T00:00:00"/>
    <x v="5"/>
    <x v="2"/>
    <n v="155"/>
    <n v="0"/>
    <n v="74769.710000000006"/>
    <x v="0"/>
    <n v="589"/>
    <s v="0140"/>
    <n v="9"/>
    <s v="Land"/>
    <s v="Mogadishu"/>
    <d v="2025-01-13T00:00:00"/>
    <x v="1"/>
    <d v="2025-01-13T00:00:00"/>
  </r>
  <r>
    <s v="PRP0064"/>
    <d v="2025-07-17T00:00:00"/>
    <x v="5"/>
    <x v="2"/>
    <n v="930"/>
    <n v="0"/>
    <n v="411198.88"/>
    <x v="1"/>
    <n v="404"/>
    <s v="0064"/>
    <n v="9"/>
    <s v="Land"/>
    <s v="Mogadishu"/>
    <d v="2025-07-17T00:00:00"/>
    <x v="1"/>
    <d v="2025-07-17T00:00:00"/>
  </r>
  <r>
    <s v="PRP0147"/>
    <d v="2025-03-09T00:00:00"/>
    <x v="4"/>
    <x v="2"/>
    <n v="413"/>
    <n v="3"/>
    <n v="456980.34"/>
    <x v="1"/>
    <n v="534"/>
    <s v="0147"/>
    <n v="9"/>
    <s v="Commercial"/>
    <s v="Mogadishu"/>
    <d v="2025-03-09T00:00:00"/>
    <x v="1"/>
    <d v="2025-03-09T00:00:00"/>
  </r>
  <r>
    <s v="PRP0071"/>
    <d v="2025-08-28T00:00:00"/>
    <x v="0"/>
    <x v="5"/>
    <n v="62"/>
    <n v="5"/>
    <n v="31037.94"/>
    <x v="0"/>
    <n v="362"/>
    <s v="0071"/>
    <n v="7"/>
    <s v="Apartment"/>
    <s v="Kismayo"/>
    <d v="2025-08-28T00:00:00"/>
    <x v="1"/>
    <d v="2025-08-28T00:00:00"/>
  </r>
  <r>
    <s v="PRP0105"/>
    <d v="2026-06-06T00:00:00"/>
    <x v="3"/>
    <x v="3"/>
    <n v="236"/>
    <n v="3"/>
    <n v="121984.45"/>
    <x v="2"/>
    <n v="80"/>
    <s v="0105"/>
    <n v="6"/>
    <s v="House"/>
    <s v="Garowe"/>
    <d v="2026-06-06T00:00:00"/>
    <x v="0"/>
    <d v="2026-06-06T00:00:00"/>
  </r>
  <r>
    <s v="PRP0061"/>
    <d v="2026-06-13T00:00:00"/>
    <x v="0"/>
    <x v="5"/>
    <n v="53"/>
    <n v="6"/>
    <n v="30902.87"/>
    <x v="0"/>
    <n v="73"/>
    <s v="0061"/>
    <n v="7"/>
    <s v="Apartment"/>
    <s v="Kismayo"/>
    <d v="2026-06-13T00:00:00"/>
    <x v="0"/>
    <d v="2026-06-13T00:00:00"/>
  </r>
  <r>
    <s v="PRP0070"/>
    <s v="Unknown"/>
    <x v="2"/>
    <x v="2"/>
    <n v="409"/>
    <n v="3"/>
    <n v="347482.18"/>
    <x v="1"/>
    <s v="Unknown"/>
    <s v="0070"/>
    <n v="9"/>
    <s v="Villa"/>
    <s v="Mogadishu"/>
    <s v="Unknown"/>
    <x v="2"/>
    <s v=""/>
  </r>
  <r>
    <s v="PRP0088"/>
    <d v="2025-08-31T00:00:00"/>
    <x v="0"/>
    <x v="2"/>
    <n v="116"/>
    <n v="1"/>
    <n v="87578.6"/>
    <x v="0"/>
    <n v="359"/>
    <s v="0088"/>
    <n v="9"/>
    <s v="Apartment"/>
    <s v="Mogadishu"/>
    <d v="2025-08-31T00:00:00"/>
    <x v="1"/>
    <d v="2025-08-31T00:00:00"/>
  </r>
  <r>
    <s v="PRP0120"/>
    <d v="2025-08-17T00:00:00"/>
    <x v="5"/>
    <x v="1"/>
    <n v="797"/>
    <n v="3"/>
    <n v="255821.08"/>
    <x v="1"/>
    <n v="373"/>
    <s v="0120"/>
    <n v="6"/>
    <s v="Land"/>
    <s v="Baidoa"/>
    <d v="2025-08-17T00:00:00"/>
    <x v="1"/>
    <d v="2025-08-17T00:00:00"/>
  </r>
  <r>
    <s v="PRP0200"/>
    <d v="2025-07-17T00:00:00"/>
    <x v="2"/>
    <x v="0"/>
    <n v="416"/>
    <n v="2"/>
    <n v="359691.04"/>
    <x v="1"/>
    <n v="404"/>
    <s v="0200"/>
    <n v="8"/>
    <s v="Villa"/>
    <s v="Hargeisa"/>
    <d v="2025-07-17T00:00:00"/>
    <x v="1"/>
    <d v="2025-07-17T00:00:00"/>
  </r>
  <r>
    <s v="PRP0135"/>
    <d v="2025-01-27T00:00:00"/>
    <x v="5"/>
    <x v="2"/>
    <n v="1034"/>
    <n v="3"/>
    <n v="633286.54"/>
    <x v="1"/>
    <n v="575"/>
    <s v="0135"/>
    <n v="9"/>
    <s v="Land"/>
    <s v="Mogadishu"/>
    <d v="2025-01-27T00:00:00"/>
    <x v="1"/>
    <d v="2025-01-27T00:00:00"/>
  </r>
  <r>
    <s v="PRP0059"/>
    <d v="2025-08-03T00:00:00"/>
    <x v="0"/>
    <x v="0"/>
    <n v="85"/>
    <n v="6"/>
    <n v="45594.97"/>
    <x v="0"/>
    <n v="387"/>
    <s v="0059"/>
    <n v="8"/>
    <s v="Apartment"/>
    <s v="Hargeisa"/>
    <d v="2025-08-03T00:00:00"/>
    <x v="1"/>
    <d v="2025-08-03T00:00:00"/>
  </r>
  <r>
    <s v="PRP0132"/>
    <d v="2025-08-03T00:00:00"/>
    <x v="5"/>
    <x v="2"/>
    <n v="1050"/>
    <n v="0"/>
    <n v="585752.54"/>
    <x v="1"/>
    <n v="387"/>
    <s v="0132"/>
    <n v="9"/>
    <s v="Land"/>
    <s v="Mogadishu"/>
    <d v="2025-08-03T00:00:00"/>
    <x v="1"/>
    <d v="2025-08-03T00:00:00"/>
  </r>
  <r>
    <s v="PRP0069"/>
    <d v="2025-09-01T00:00:00"/>
    <x v="2"/>
    <x v="2"/>
    <n v="400"/>
    <n v="6"/>
    <n v="334811.99"/>
    <x v="1"/>
    <n v="358"/>
    <s v="0069"/>
    <n v="9"/>
    <s v="Villa"/>
    <s v="Mogadishu"/>
    <d v="2025-09-01T00:00:00"/>
    <x v="1"/>
    <d v="2025-09-01T00:00:00"/>
  </r>
  <r>
    <s v="PRP0086"/>
    <d v="2025-08-24T00:00:00"/>
    <x v="2"/>
    <x v="3"/>
    <n v="205"/>
    <n v="1"/>
    <n v="140423.18"/>
    <x v="2"/>
    <n v="366"/>
    <s v="0086"/>
    <n v="6"/>
    <s v="Villa"/>
    <s v="Garowe"/>
    <d v="2025-08-24T00:00:00"/>
    <x v="1"/>
    <d v="2025-08-24T00:00:00"/>
  </r>
  <r>
    <s v="PRP0039"/>
    <d v="2026-04-02T00:00:00"/>
    <x v="0"/>
    <x v="4"/>
    <n v="98"/>
    <n v="6"/>
    <n v="58990.06"/>
    <x v="0"/>
    <n v="145"/>
    <s v="0039"/>
    <n v="6"/>
    <s v="Apartment"/>
    <s v="Bosaso"/>
    <d v="2026-04-02T00:00:00"/>
    <x v="0"/>
    <d v="2026-04-02T00:00:00"/>
  </r>
  <r>
    <s v="PRP0213"/>
    <d v="2025-07-24T00:00:00"/>
    <x v="3"/>
    <x v="2"/>
    <n v="135"/>
    <n v="5"/>
    <n v="120354.21"/>
    <x v="2"/>
    <n v="397"/>
    <s v="0213"/>
    <n v="9"/>
    <s v="House"/>
    <s v="Mogadishu"/>
    <d v="2025-07-24T00:00:00"/>
    <x v="1"/>
    <d v="2025-07-24T00:00:00"/>
  </r>
  <r>
    <s v="PRP0167"/>
    <d v="2025-04-16T00:00:00"/>
    <x v="0"/>
    <x v="6"/>
    <n v="64"/>
    <n v="4"/>
    <n v="49469.93"/>
    <x v="0"/>
    <n v="496"/>
    <s v="0167"/>
    <n v="7"/>
    <s v="Apartment"/>
    <s v="Unknown"/>
    <d v="2025-04-16T00:00:00"/>
    <x v="1"/>
    <d v="2025-04-16T00:00:00"/>
  </r>
  <r>
    <s v="PRP0097"/>
    <d v="2025-04-09T00:00:00"/>
    <x v="3"/>
    <x v="3"/>
    <n v="295"/>
    <n v="1"/>
    <n v="132570.15"/>
    <x v="2"/>
    <n v="503"/>
    <s v="0097"/>
    <n v="6"/>
    <s v="House"/>
    <s v="Garowe"/>
    <d v="2025-04-09T00:00:00"/>
    <x v="1"/>
    <d v="2025-04-09T00:00:00"/>
  </r>
  <r>
    <s v="PRP0210"/>
    <d v="2026-04-01T00:00:00"/>
    <x v="5"/>
    <x v="0"/>
    <n v="343"/>
    <n v="0"/>
    <n v="169312.89"/>
    <x v="2"/>
    <n v="146"/>
    <s v="0210"/>
    <n v="8"/>
    <s v="Land"/>
    <s v="Hargeisa"/>
    <d v="2026-04-01T00:00:00"/>
    <x v="0"/>
    <d v="2026-04-01T00:00:00"/>
  </r>
  <r>
    <s v="PRP0117"/>
    <d v="2025-10-25T00:00:00"/>
    <x v="1"/>
    <x v="0"/>
    <n v="149"/>
    <n v="4"/>
    <n v="99636.1"/>
    <x v="0"/>
    <n v="304"/>
    <s v="0117"/>
    <n v="8"/>
    <s v="Unknown"/>
    <s v="Hargeisa"/>
    <d v="2025-10-25T00:00:00"/>
    <x v="1"/>
    <d v="2025-10-25T00:00:00"/>
  </r>
  <r>
    <s v="PRP0130"/>
    <d v="2026-07-22T00:00:00"/>
    <x v="2"/>
    <x v="0"/>
    <n v="307"/>
    <n v="1"/>
    <n v="236948.43"/>
    <x v="1"/>
    <n v="34"/>
    <s v="0130"/>
    <n v="8"/>
    <s v="Villa"/>
    <s v="Hargeisa"/>
    <d v="2026-07-22T00:00:00"/>
    <x v="0"/>
    <d v="2026-07-22T00:00:00"/>
  </r>
  <r>
    <s v="PRP0209"/>
    <d v="2025-01-16T00:00:00"/>
    <x v="5"/>
    <x v="3"/>
    <n v="512"/>
    <n v="0"/>
    <n v="207102.49"/>
    <x v="1"/>
    <n v="586"/>
    <s v="0209"/>
    <n v="6"/>
    <s v="Land"/>
    <s v="Garowe"/>
    <d v="2025-01-16T00:00:00"/>
    <x v="1"/>
    <d v="2025-01-16T00:00:00"/>
  </r>
  <r>
    <s v="PRP0043"/>
    <d v="2025-05-08T00:00:00"/>
    <x v="1"/>
    <x v="1"/>
    <n v="144"/>
    <n v="2"/>
    <n v="56872.959999999999"/>
    <x v="0"/>
    <n v="474"/>
    <s v="0043"/>
    <n v="6"/>
    <s v="Unknown"/>
    <s v="Baidoa"/>
    <d v="2025-05-08T00:00:00"/>
    <x v="1"/>
    <d v="2025-05-08T00:00:00"/>
  </r>
  <r>
    <s v="PRP0264"/>
    <s v="Unknown"/>
    <x v="0"/>
    <x v="3"/>
    <n v="113"/>
    <n v="6"/>
    <n v="2000022"/>
    <x v="1"/>
    <s v="Unknown"/>
    <s v="0264"/>
    <n v="6"/>
    <s v="Apartment"/>
    <s v="Garowe"/>
    <s v="Unknown"/>
    <x v="2"/>
    <s v=""/>
  </r>
  <r>
    <s v="PRP0076"/>
    <d v="2025-11-26T00:00:00"/>
    <x v="0"/>
    <x v="6"/>
    <n v="114"/>
    <n v="2"/>
    <n v="71507.08"/>
    <x v="0"/>
    <n v="272"/>
    <s v="0076"/>
    <n v="7"/>
    <s v="Apartment"/>
    <s v="Unknown"/>
    <d v="2025-11-26T00:00:00"/>
    <x v="1"/>
    <d v="2025-11-26T00:00:00"/>
  </r>
  <r>
    <s v="PRP0280"/>
    <d v="2025-03-26T00:00:00"/>
    <x v="1"/>
    <x v="2"/>
    <n v="283"/>
    <n v="1"/>
    <n v="194446.63"/>
    <x v="2"/>
    <n v="517"/>
    <s v="0280"/>
    <n v="9"/>
    <s v="Unknown"/>
    <s v="Mogadishu"/>
    <d v="2025-03-26T00:00:00"/>
    <x v="1"/>
    <d v="2025-03-26T00:00:00"/>
  </r>
  <r>
    <s v="PRP0006"/>
    <d v="2025-01-31T00:00:00"/>
    <x v="0"/>
    <x v="2"/>
    <n v="108"/>
    <n v="3"/>
    <n v="100687.2"/>
    <x v="2"/>
    <n v="571"/>
    <s v="0006"/>
    <n v="9"/>
    <s v="Apartment"/>
    <s v="Mogadishu"/>
    <d v="2025-01-31T00:00:00"/>
    <x v="1"/>
    <d v="2025-01-31T00:00:00"/>
  </r>
  <r>
    <s v="PRP0085"/>
    <d v="2026-02-06T00:00:00"/>
    <x v="3"/>
    <x v="5"/>
    <n v="160"/>
    <n v="4"/>
    <n v="67317.179999999993"/>
    <x v="0"/>
    <n v="200"/>
    <s v="0085"/>
    <n v="7"/>
    <s v="House"/>
    <s v="Kismayo"/>
    <d v="2026-02-06T00:00:00"/>
    <x v="0"/>
    <d v="2026-02-06T00:00:00"/>
  </r>
  <r>
    <s v="PRP0157"/>
    <d v="2026-04-04T00:00:00"/>
    <x v="3"/>
    <x v="5"/>
    <n v="295"/>
    <n v="3"/>
    <n v="69647.41"/>
    <x v="0"/>
    <n v="143"/>
    <s v="0157"/>
    <n v="7"/>
    <s v="House"/>
    <s v="Kismayo"/>
    <d v="2026-04-04T00:00:00"/>
    <x v="0"/>
    <d v="2026-04-04T00:00:00"/>
  </r>
  <r>
    <s v="PRP0041"/>
    <d v="2025-10-21T00:00:00"/>
    <x v="5"/>
    <x v="1"/>
    <n v="1037"/>
    <n v="0"/>
    <n v="212834.03"/>
    <x v="1"/>
    <n v="308"/>
    <s v="0041"/>
    <n v="6"/>
    <s v="Land"/>
    <s v="Baidoa"/>
    <d v="2025-10-21T00:00:00"/>
    <x v="1"/>
    <d v="2025-10-21T00:00:00"/>
  </r>
  <r>
    <s v="PRP0115"/>
    <d v="2025-11-15T00:00:00"/>
    <x v="4"/>
    <x v="5"/>
    <n v="122"/>
    <n v="3"/>
    <n v="72454.350000000006"/>
    <x v="0"/>
    <n v="283"/>
    <s v="0115"/>
    <n v="7"/>
    <s v="Commercial"/>
    <s v="Kismayo"/>
    <d v="2025-11-15T00:00:00"/>
    <x v="1"/>
    <d v="2025-11-15T00:00:00"/>
  </r>
  <r>
    <s v="PRP0227"/>
    <d v="2026-05-12T00:00:00"/>
    <x v="5"/>
    <x v="5"/>
    <n v="522"/>
    <n v="0"/>
    <n v="172424.78"/>
    <x v="2"/>
    <n v="105"/>
    <s v="0227"/>
    <n v="7"/>
    <s v="Land"/>
    <s v="Kismayo"/>
    <d v="2026-05-12T00:00:00"/>
    <x v="0"/>
    <d v="2026-05-12T00:00:00"/>
  </r>
  <r>
    <s v="PRP0189"/>
    <d v="2025-04-25T00:00:00"/>
    <x v="3"/>
    <x v="2"/>
    <n v="254"/>
    <n v="3"/>
    <n v="207891.14"/>
    <x v="1"/>
    <n v="487"/>
    <s v="0189"/>
    <n v="9"/>
    <s v="House"/>
    <s v="Mogadishu"/>
    <d v="2025-04-25T00:00:00"/>
    <x v="1"/>
    <d v="2025-04-25T00:00:00"/>
  </r>
  <r>
    <s v="PRP0290"/>
    <d v="2026-01-30T00:00:00"/>
    <x v="3"/>
    <x v="3"/>
    <n v="266"/>
    <n v="3"/>
    <n v="148627.41"/>
    <x v="2"/>
    <n v="207"/>
    <s v="0290"/>
    <n v="6"/>
    <s v="House"/>
    <s v="Garowe"/>
    <d v="2026-01-30T00:00:00"/>
    <x v="0"/>
    <d v="2026-01-30T00:00:00"/>
  </r>
  <r>
    <s v="PRP0249"/>
    <d v="2025-12-26T00:00:00"/>
    <x v="5"/>
    <x v="1"/>
    <n v="2005"/>
    <n v="0"/>
    <n v="116193.49"/>
    <x v="2"/>
    <n v="242"/>
    <s v="0249"/>
    <n v="6"/>
    <s v="Land"/>
    <s v="Baidoa"/>
    <d v="2025-12-26T00:00:00"/>
    <x v="1"/>
    <d v="2025-12-26T00:00:00"/>
  </r>
  <r>
    <s v="PRP0103"/>
    <d v="2026-06-10T00:00:00"/>
    <x v="0"/>
    <x v="0"/>
    <n v="49"/>
    <n v="4"/>
    <n v="28456.09"/>
    <x v="0"/>
    <n v="76"/>
    <s v="0103"/>
    <n v="8"/>
    <s v="Apartment"/>
    <s v="Hargeisa"/>
    <d v="2026-06-10T00:00:00"/>
    <x v="0"/>
    <d v="2026-06-10T00:00:00"/>
  </r>
  <r>
    <s v="PRP0123"/>
    <d v="2026-04-13T00:00:00"/>
    <x v="3"/>
    <x v="4"/>
    <n v="295"/>
    <n v="3"/>
    <n v="194796.17"/>
    <x v="2"/>
    <n v="134"/>
    <s v="0123"/>
    <n v="6"/>
    <s v="House"/>
    <s v="Bosaso"/>
    <d v="2026-04-13T00:00:00"/>
    <x v="0"/>
    <d v="2026-04-13T00:00:00"/>
  </r>
  <r>
    <s v="PRP0094"/>
    <d v="2026-02-25T00:00:00"/>
    <x v="4"/>
    <x v="2"/>
    <n v="81"/>
    <n v="0"/>
    <n v="87754.22"/>
    <x v="0"/>
    <n v="181"/>
    <s v="0094"/>
    <n v="9"/>
    <s v="Commercial"/>
    <s v="Mogadishu"/>
    <d v="2026-02-25T00:00:00"/>
    <x v="0"/>
    <d v="2026-02-25T00:00:00"/>
  </r>
  <r>
    <s v="PRP0233"/>
    <d v="2025-01-25T00:00:00"/>
    <x v="3"/>
    <x v="3"/>
    <n v="140"/>
    <n v="6"/>
    <n v="65851.66"/>
    <x v="0"/>
    <n v="577"/>
    <s v="0233"/>
    <n v="6"/>
    <s v="House"/>
    <s v="Garowe"/>
    <d v="2025-01-25T00:00:00"/>
    <x v="1"/>
    <d v="2025-01-25T00:00:00"/>
  </r>
  <r>
    <s v="PRP0036"/>
    <d v="2026-04-08T00:00:00"/>
    <x v="0"/>
    <x v="6"/>
    <n v="94"/>
    <n v="2"/>
    <n v="86384.74"/>
    <x v="0"/>
    <n v="139"/>
    <s v="0036"/>
    <n v="7"/>
    <s v="Apartment"/>
    <s v="Unknown"/>
    <d v="2026-04-08T00:00:00"/>
    <x v="0"/>
    <d v="2026-04-08T00:00:00"/>
  </r>
  <r>
    <s v="PRP0017"/>
    <d v="2025-10-28T00:00:00"/>
    <x v="0"/>
    <x v="4"/>
    <n v="131"/>
    <n v="4"/>
    <n v="178260.23"/>
    <x v="2"/>
    <n v="301"/>
    <s v="0017"/>
    <n v="6"/>
    <s v="Apartment"/>
    <s v="Bosaso"/>
    <d v="2025-10-28T00:00:00"/>
    <x v="1"/>
    <d v="2025-10-28T00:00:00"/>
  </r>
  <r>
    <s v="PRP0107"/>
    <d v="2025-10-07T00:00:00"/>
    <x v="0"/>
    <x v="1"/>
    <n v="178"/>
    <n v="6"/>
    <n v="65079.35"/>
    <x v="0"/>
    <n v="322"/>
    <s v="0107"/>
    <n v="6"/>
    <s v="Apartment"/>
    <s v="Baidoa"/>
    <d v="2025-10-07T00:00:00"/>
    <x v="1"/>
    <d v="2025-10-07T00:00:00"/>
  </r>
  <r>
    <s v="PRP0007"/>
    <d v="2025-12-21T00:00:00"/>
    <x v="0"/>
    <x v="4"/>
    <n v="51"/>
    <n v="5"/>
    <n v="35723.39"/>
    <x v="0"/>
    <n v="247"/>
    <s v="0007"/>
    <n v="6"/>
    <s v="Apartment"/>
    <s v="Bosaso"/>
    <d v="2025-12-21T00:00:00"/>
    <x v="1"/>
    <d v="2025-12-21T00:00:00"/>
  </r>
  <r>
    <s v="PRP0239"/>
    <d v="2025-01-14T00:00:00"/>
    <x v="2"/>
    <x v="0"/>
    <n v="370"/>
    <n v="3"/>
    <n v="357812.88"/>
    <x v="1"/>
    <n v="588"/>
    <s v="0239"/>
    <n v="8"/>
    <s v="Villa"/>
    <s v="Hargeisa"/>
    <d v="2025-01-14T00:00:00"/>
    <x v="1"/>
    <d v="2025-01-14T00:00:00"/>
  </r>
  <r>
    <s v="PRP0058"/>
    <d v="2025-05-02T00:00:00"/>
    <x v="1"/>
    <x v="2"/>
    <n v="119"/>
    <n v="2"/>
    <n v="114645.92"/>
    <x v="2"/>
    <n v="480"/>
    <s v="0058"/>
    <n v="9"/>
    <s v="Unknown"/>
    <s v="Mogadishu"/>
    <d v="2025-05-02T00:00:00"/>
    <x v="1"/>
    <d v="2025-05-02T00:00:00"/>
  </r>
  <r>
    <s v="PRP0178"/>
    <d v="2025-10-25T00:00:00"/>
    <x v="3"/>
    <x v="0"/>
    <n v="225"/>
    <n v="4"/>
    <n v="122019.88"/>
    <x v="2"/>
    <n v="304"/>
    <s v="0178"/>
    <n v="8"/>
    <s v="House"/>
    <s v="Hargeisa"/>
    <d v="2025-10-25T00:00:00"/>
    <x v="1"/>
    <d v="2025-10-25T00:00:00"/>
  </r>
  <r>
    <s v="PRP0133"/>
    <d v="2025-08-08T00:00:00"/>
    <x v="3"/>
    <x v="1"/>
    <n v="220"/>
    <n v="2"/>
    <n v="178260.23"/>
    <x v="2"/>
    <n v="382"/>
    <s v="0133"/>
    <n v="6"/>
    <s v="House"/>
    <s v="Baidoa"/>
    <d v="2025-08-08T00:00:00"/>
    <x v="1"/>
    <d v="2025-08-08T00:00:00"/>
  </r>
  <r>
    <s v="PRP0164"/>
    <d v="2025-09-04T00:00:00"/>
    <x v="1"/>
    <x v="1"/>
    <n v="267"/>
    <n v="6"/>
    <n v="156264.57"/>
    <x v="2"/>
    <n v="355"/>
    <s v="0164"/>
    <n v="6"/>
    <s v="Unknown"/>
    <s v="Baidoa"/>
    <d v="2025-09-04T00:00:00"/>
    <x v="1"/>
    <d v="2025-09-04T00:00:00"/>
  </r>
  <r>
    <s v="PRP0008"/>
    <d v="2026-02-21T00:00:00"/>
    <x v="5"/>
    <x v="2"/>
    <n v="612"/>
    <n v="0"/>
    <n v="349661.86"/>
    <x v="1"/>
    <n v="185"/>
    <s v="0008"/>
    <n v="9"/>
    <s v="Land"/>
    <s v="Mogadishu"/>
    <d v="2026-02-21T00:00:00"/>
    <x v="0"/>
    <d v="2026-02-21T00:00:00"/>
  </r>
  <r>
    <s v="PRP0231"/>
    <d v="2026-06-22T00:00:00"/>
    <x v="0"/>
    <x v="0"/>
    <n v="130"/>
    <n v="3"/>
    <n v="80759.42"/>
    <x v="0"/>
    <n v="64"/>
    <s v="0231"/>
    <n v="8"/>
    <s v="Apartment"/>
    <s v="Hargeisa"/>
    <d v="2026-06-22T00:00:00"/>
    <x v="0"/>
    <d v="2026-06-22T00:00:00"/>
  </r>
  <r>
    <s v="PRP0111"/>
    <s v="Unknown"/>
    <x v="0"/>
    <x v="2"/>
    <n v="157"/>
    <n v="6"/>
    <n v="136989.97"/>
    <x v="2"/>
    <s v="Unknown"/>
    <s v="0111"/>
    <n v="9"/>
    <s v="Apartment"/>
    <s v="Mogadishu"/>
    <s v="Unknown"/>
    <x v="2"/>
    <s v=""/>
  </r>
  <r>
    <s v="PRP0257"/>
    <d v="2025-03-07T00:00:00"/>
    <x v="0"/>
    <x v="1"/>
    <n v="173"/>
    <n v="3"/>
    <n v="82765.759999999995"/>
    <x v="0"/>
    <n v="536"/>
    <s v="0257"/>
    <n v="6"/>
    <s v="Apartment"/>
    <s v="Baidoa"/>
    <d v="2025-03-07T00:00:00"/>
    <x v="1"/>
    <d v="2025-03-07T00:00:00"/>
  </r>
  <r>
    <s v="PRP0093"/>
    <d v="2026-04-04T00:00:00"/>
    <x v="0"/>
    <x v="2"/>
    <n v="96"/>
    <n v="2"/>
    <n v="178260.23"/>
    <x v="2"/>
    <n v="143"/>
    <s v="0093"/>
    <n v="9"/>
    <s v="Apartment"/>
    <s v="Mogadishu"/>
    <d v="2026-04-04T00:00:00"/>
    <x v="0"/>
    <d v="2026-04-04T00:00:00"/>
  </r>
  <r>
    <s v="PRP0251"/>
    <d v="2025-11-16T00:00:00"/>
    <x v="0"/>
    <x v="0"/>
    <n v="80"/>
    <n v="3"/>
    <n v="47609.54"/>
    <x v="0"/>
    <n v="282"/>
    <s v="0251"/>
    <n v="8"/>
    <s v="Apartment"/>
    <s v="Hargeisa"/>
    <d v="2025-11-16T00:00:00"/>
    <x v="1"/>
    <d v="2025-11-16T00:00:00"/>
  </r>
  <r>
    <s v="PRP0291"/>
    <s v="Unknown"/>
    <x v="0"/>
    <x v="2"/>
    <n v="120"/>
    <n v="6"/>
    <n v="93224.61"/>
    <x v="0"/>
    <s v="Unknown"/>
    <s v="0291"/>
    <n v="9"/>
    <s v="Apartment"/>
    <s v="Mogadishu"/>
    <s v="Unknown"/>
    <x v="2"/>
    <s v=""/>
  </r>
  <r>
    <s v="PRP0171"/>
    <d v="2026-06-29T00:00:00"/>
    <x v="2"/>
    <x v="2"/>
    <n v="218"/>
    <n v="1"/>
    <n v="181066.84"/>
    <x v="2"/>
    <n v="57"/>
    <s v="0171"/>
    <n v="9"/>
    <s v="Villa"/>
    <s v="Mogadishu"/>
    <d v="2026-06-29T00:00:00"/>
    <x v="0"/>
    <d v="2026-06-29T00:00:00"/>
  </r>
  <r>
    <s v="PRP0087"/>
    <d v="2026-07-04T00:00:00"/>
    <x v="3"/>
    <x v="2"/>
    <n v="113"/>
    <n v="5"/>
    <n v="87690.72"/>
    <x v="0"/>
    <n v="52"/>
    <s v="0087"/>
    <n v="9"/>
    <s v="House"/>
    <s v="Mogadishu"/>
    <d v="2026-07-04T00:00:00"/>
    <x v="0"/>
    <d v="2026-07-04T00:00:00"/>
  </r>
  <r>
    <s v="PRP0203"/>
    <d v="2025-03-10T00:00:00"/>
    <x v="3"/>
    <x v="2"/>
    <n v="295"/>
    <n v="5"/>
    <n v="291714.15999999997"/>
    <x v="1"/>
    <n v="533"/>
    <s v="0203"/>
    <n v="9"/>
    <s v="House"/>
    <s v="Mogadishu"/>
    <d v="2025-03-10T00:00:00"/>
    <x v="1"/>
    <d v="2025-03-10T00:00:00"/>
  </r>
  <r>
    <s v="PRP0134"/>
    <d v="2025-03-30T00:00:00"/>
    <x v="3"/>
    <x v="5"/>
    <n v="104"/>
    <n v="2"/>
    <n v="44255.44"/>
    <x v="0"/>
    <n v="513"/>
    <s v="0134"/>
    <n v="7"/>
    <s v="House"/>
    <s v="Kismayo"/>
    <d v="2025-03-30T00:00:00"/>
    <x v="1"/>
    <d v="2025-03-30T00:00:00"/>
  </r>
  <r>
    <s v="PRP0151"/>
    <d v="2025-05-21T00:00:00"/>
    <x v="3"/>
    <x v="6"/>
    <n v="141"/>
    <n v="3"/>
    <n v="75550.36"/>
    <x v="0"/>
    <n v="461"/>
    <s v="0151"/>
    <n v="7"/>
    <s v="House"/>
    <s v="Unknown"/>
    <d v="2025-05-21T00:00:00"/>
    <x v="1"/>
    <d v="2025-05-21T00:00:00"/>
  </r>
  <r>
    <s v="PRP0042"/>
    <s v="Unknown"/>
    <x v="5"/>
    <x v="2"/>
    <n v="480"/>
    <n v="0"/>
    <n v="258804.07"/>
    <x v="1"/>
    <s v="Unknown"/>
    <s v="0042"/>
    <n v="9"/>
    <s v="Land"/>
    <s v="Mogadishu"/>
    <s v="Unknown"/>
    <x v="2"/>
    <s v=""/>
  </r>
  <r>
    <s v="PRP0235"/>
    <d v="2026-01-26T00:00:00"/>
    <x v="2"/>
    <x v="5"/>
    <n v="433"/>
    <n v="3"/>
    <n v="273035.81"/>
    <x v="1"/>
    <n v="211"/>
    <s v="0235"/>
    <n v="7"/>
    <s v="Villa"/>
    <s v="Kismayo"/>
    <d v="2026-01-26T00:00:00"/>
    <x v="0"/>
    <d v="2026-01-26T00:00:00"/>
  </r>
  <r>
    <s v="PRP0125"/>
    <d v="2025-02-22T00:00:00"/>
    <x v="2"/>
    <x v="2"/>
    <n v="353"/>
    <n v="5"/>
    <n v="367511.3"/>
    <x v="1"/>
    <n v="549"/>
    <s v="0125"/>
    <n v="9"/>
    <s v="Villa"/>
    <s v="Mogadishu"/>
    <d v="2025-02-22T00:00:00"/>
    <x v="1"/>
    <d v="2025-02-22T00:00:00"/>
  </r>
  <r>
    <s v="PRP0128"/>
    <s v="Unknown"/>
    <x v="5"/>
    <x v="0"/>
    <n v="533"/>
    <n v="0"/>
    <n v="245953.75"/>
    <x v="1"/>
    <s v="Unknown"/>
    <s v="0128"/>
    <n v="8"/>
    <s v="Land"/>
    <s v="Hargeisa"/>
    <s v="Unknown"/>
    <x v="2"/>
    <s v=""/>
  </r>
  <r>
    <s v="PRP0119"/>
    <s v="Unknown"/>
    <x v="5"/>
    <x v="6"/>
    <n v="711"/>
    <n v="0"/>
    <n v="309908.96000000002"/>
    <x v="1"/>
    <s v="Unknown"/>
    <s v="0119"/>
    <n v="7"/>
    <s v="Land"/>
    <s v="Unknown"/>
    <s v="Unknown"/>
    <x v="2"/>
    <s v=""/>
  </r>
  <r>
    <s v="PRP0060"/>
    <d v="2025-10-04T00:00:00"/>
    <x v="5"/>
    <x v="6"/>
    <n v="553"/>
    <n v="0"/>
    <n v="128577.67"/>
    <x v="2"/>
    <n v="325"/>
    <s v="0060"/>
    <n v="7"/>
    <s v="Land"/>
    <s v="Unknown"/>
    <d v="2025-10-04T00:00:00"/>
    <x v="1"/>
    <d v="2025-10-04T00:00:00"/>
  </r>
  <r>
    <s v="PRP0075"/>
    <d v="2026-07-06T00:00:00"/>
    <x v="3"/>
    <x v="2"/>
    <n v="288"/>
    <n v="4"/>
    <n v="178260.23"/>
    <x v="2"/>
    <n v="50"/>
    <s v="0075"/>
    <n v="9"/>
    <s v="House"/>
    <s v="Mogadishu"/>
    <d v="2026-07-06T00:00:00"/>
    <x v="0"/>
    <d v="2026-07-06T00:00:00"/>
  </r>
  <r>
    <s v="PRP0279"/>
    <d v="2025-08-21T00:00:00"/>
    <x v="3"/>
    <x v="0"/>
    <n v="237"/>
    <n v="3"/>
    <n v="165928.29999999999"/>
    <x v="2"/>
    <n v="369"/>
    <s v="0279"/>
    <n v="8"/>
    <s v="House"/>
    <s v="Hargeisa"/>
    <d v="2025-08-21T00:00:00"/>
    <x v="1"/>
    <d v="2025-08-21T00:00:00"/>
  </r>
  <r>
    <s v="PRP0284"/>
    <d v="2026-04-01T00:00:00"/>
    <x v="0"/>
    <x v="2"/>
    <n v="146"/>
    <n v="6"/>
    <n v="111013.11"/>
    <x v="2"/>
    <n v="146"/>
    <s v="0284"/>
    <n v="9"/>
    <s v="Apartment"/>
    <s v="Mogadishu"/>
    <d v="2026-04-01T00:00:00"/>
    <x v="0"/>
    <d v="2026-04-01T00:00:00"/>
  </r>
  <r>
    <s v="PRP0224"/>
    <d v="2025-02-20T00:00:00"/>
    <x v="0"/>
    <x v="0"/>
    <n v="169"/>
    <n v="4"/>
    <n v="96379.57"/>
    <x v="0"/>
    <n v="551"/>
    <s v="0224"/>
    <n v="8"/>
    <s v="Apartment"/>
    <s v="Hargeisa"/>
    <d v="2025-02-20T00:00:00"/>
    <x v="1"/>
    <d v="2025-02-20T00:00:00"/>
  </r>
  <r>
    <s v="PRP0195"/>
    <d v="2026-04-20T00:00:00"/>
    <x v="3"/>
    <x v="4"/>
    <n v="124"/>
    <n v="2"/>
    <n v="80531.67"/>
    <x v="0"/>
    <n v="127"/>
    <s v="0195"/>
    <n v="6"/>
    <s v="House"/>
    <s v="Bosaso"/>
    <d v="2026-04-20T00:00:00"/>
    <x v="0"/>
    <d v="2026-04-20T00:00:00"/>
  </r>
  <r>
    <s v="PRP0022"/>
    <d v="2025-08-25T00:00:00"/>
    <x v="3"/>
    <x v="5"/>
    <n v="286"/>
    <n v="3"/>
    <n v="181108.11"/>
    <x v="2"/>
    <n v="365"/>
    <s v="0022"/>
    <n v="7"/>
    <s v="House"/>
    <s v="Kismayo"/>
    <d v="2025-08-25T00:00:00"/>
    <x v="1"/>
    <d v="2025-08-25T00:00:00"/>
  </r>
  <r>
    <s v="PRP0260"/>
    <d v="2026-04-20T00:00:00"/>
    <x v="5"/>
    <x v="1"/>
    <n v="1028"/>
    <n v="0"/>
    <n v="178260.23"/>
    <x v="2"/>
    <n v="127"/>
    <s v="0260"/>
    <n v="6"/>
    <s v="Land"/>
    <s v="Baidoa"/>
    <d v="2026-04-20T00:00:00"/>
    <x v="0"/>
    <d v="2026-04-20T00:00:00"/>
  </r>
  <r>
    <s v="PRP0142"/>
    <d v="2025-08-06T00:00:00"/>
    <x v="3"/>
    <x v="0"/>
    <n v="198"/>
    <n v="5"/>
    <n v="167221.66"/>
    <x v="2"/>
    <n v="384"/>
    <s v="0142"/>
    <n v="8"/>
    <s v="House"/>
    <s v="Hargeisa"/>
    <d v="2025-08-06T00:00:00"/>
    <x v="1"/>
    <d v="2025-08-06T00:00:00"/>
  </r>
  <r>
    <s v="PRP0066"/>
    <d v="2025-10-16T00:00:00"/>
    <x v="5"/>
    <x v="4"/>
    <n v="564"/>
    <n v="3"/>
    <n v="222835.68"/>
    <x v="1"/>
    <n v="313"/>
    <s v="0066"/>
    <n v="6"/>
    <s v="Land"/>
    <s v="Bosaso"/>
    <d v="2025-10-16T00:00:00"/>
    <x v="1"/>
    <d v="2025-10-16T00:00:00"/>
  </r>
  <r>
    <s v="Unknown07"/>
    <d v="2025-06-13T00:00:00"/>
    <x v="0"/>
    <x v="0"/>
    <n v="46"/>
    <n v="1"/>
    <n v="35663.14"/>
    <x v="0"/>
    <n v="438"/>
    <s v="wn07"/>
    <n v="8"/>
    <s v="Apartment"/>
    <s v="Hargeisa"/>
    <d v="2025-06-13T00:00:00"/>
    <x v="1"/>
    <d v="2025-06-13T00:00:00"/>
  </r>
  <r>
    <s v="PRP0221"/>
    <d v="2026-05-10T00:00:00"/>
    <x v="3"/>
    <x v="6"/>
    <n v="260"/>
    <n v="5"/>
    <n v="147415.75"/>
    <x v="2"/>
    <n v="107"/>
    <s v="0221"/>
    <n v="7"/>
    <s v="House"/>
    <s v="Unknown"/>
    <d v="2026-05-10T00:00:00"/>
    <x v="0"/>
    <d v="2026-05-10T00:00:00"/>
  </r>
  <r>
    <s v="PRP0289"/>
    <d v="2025-04-25T00:00:00"/>
    <x v="0"/>
    <x v="2"/>
    <n v="91"/>
    <n v="6"/>
    <n v="64666.59"/>
    <x v="0"/>
    <n v="487"/>
    <s v="0289"/>
    <n v="9"/>
    <s v="Apartment"/>
    <s v="Mogadishu"/>
    <d v="2025-04-25T00:00:00"/>
    <x v="1"/>
    <d v="2025-04-25T00:00:00"/>
  </r>
  <r>
    <s v="PRP0148"/>
    <d v="2026-04-14T00:00:00"/>
    <x v="2"/>
    <x v="5"/>
    <n v="298"/>
    <n v="1"/>
    <n v="189707.45"/>
    <x v="2"/>
    <n v="133"/>
    <s v="0148"/>
    <n v="7"/>
    <s v="Villa"/>
    <s v="Kismayo"/>
    <d v="2026-04-14T00:00:00"/>
    <x v="0"/>
    <d v="2026-04-14T00:00:00"/>
  </r>
  <r>
    <s v="PRP0019"/>
    <d v="2025-05-26T00:00:00"/>
    <x v="4"/>
    <x v="3"/>
    <n v="262"/>
    <n v="0"/>
    <n v="163360.28"/>
    <x v="2"/>
    <n v="456"/>
    <s v="0019"/>
    <n v="6"/>
    <s v="Commercial"/>
    <s v="Garowe"/>
    <d v="2025-05-26T00:00:00"/>
    <x v="1"/>
    <d v="2025-05-26T00:00:00"/>
  </r>
  <r>
    <s v="PRP0274"/>
    <d v="2025-02-26T00:00:00"/>
    <x v="0"/>
    <x v="2"/>
    <n v="136"/>
    <n v="1"/>
    <n v="125646.86"/>
    <x v="2"/>
    <n v="545"/>
    <s v="0274"/>
    <n v="9"/>
    <s v="Apartment"/>
    <s v="Mogadishu"/>
    <d v="2025-02-26T00:00:00"/>
    <x v="1"/>
    <d v="2025-02-26T00:00:00"/>
  </r>
  <r>
    <s v="PRP0222"/>
    <d v="2025-01-06T00:00:00"/>
    <x v="5"/>
    <x v="2"/>
    <n v="312"/>
    <n v="0"/>
    <n v="166560.13"/>
    <x v="2"/>
    <n v="596"/>
    <s v="0222"/>
    <n v="9"/>
    <s v="Land"/>
    <s v="Mogadishu"/>
    <d v="2025-01-06T00:00:00"/>
    <x v="1"/>
    <d v="2025-01-06T00:00:00"/>
  </r>
  <r>
    <s v="PRP0271"/>
    <d v="2025-07-20T00:00:00"/>
    <x v="0"/>
    <x v="0"/>
    <n v="80"/>
    <n v="6"/>
    <n v="57989.15"/>
    <x v="0"/>
    <n v="401"/>
    <s v="0271"/>
    <n v="8"/>
    <s v="Apartment"/>
    <s v="Hargeisa"/>
    <d v="2025-07-20T00:00:00"/>
    <x v="1"/>
    <d v="2025-07-20T00:00:00"/>
  </r>
  <r>
    <s v="PRP0216"/>
    <d v="2025-08-28T00:00:00"/>
    <x v="0"/>
    <x v="2"/>
    <n v="75"/>
    <n v="6"/>
    <n v="62345.68"/>
    <x v="0"/>
    <n v="362"/>
    <s v="0216"/>
    <n v="9"/>
    <s v="Apartment"/>
    <s v="Mogadishu"/>
    <d v="2025-08-28T00:00:00"/>
    <x v="1"/>
    <d v="2025-08-28T00:00:00"/>
  </r>
  <r>
    <s v="PRP0078"/>
    <d v="2025-12-31T00:00:00"/>
    <x v="3"/>
    <x v="0"/>
    <n v="190"/>
    <n v="6"/>
    <n v="122581.2"/>
    <x v="2"/>
    <n v="237"/>
    <s v="0078"/>
    <n v="8"/>
    <s v="House"/>
    <s v="Hargeisa"/>
    <d v="2025-12-31T00:00:00"/>
    <x v="1"/>
    <d v="2025-12-31T00:00:00"/>
  </r>
  <r>
    <s v="PRP0024"/>
    <d v="2025-07-30T00:00:00"/>
    <x v="5"/>
    <x v="4"/>
    <n v="969"/>
    <n v="0"/>
    <n v="358971.14"/>
    <x v="1"/>
    <n v="391"/>
    <s v="0024"/>
    <n v="6"/>
    <s v="Land"/>
    <s v="Bosaso"/>
    <d v="2025-07-30T00:00:00"/>
    <x v="1"/>
    <d v="2025-07-30T00:00:00"/>
  </r>
  <r>
    <s v="PRP0190"/>
    <d v="2025-08-05T00:00:00"/>
    <x v="5"/>
    <x v="2"/>
    <n v="828"/>
    <n v="0"/>
    <n v="482475.06"/>
    <x v="1"/>
    <n v="385"/>
    <s v="0190"/>
    <n v="9"/>
    <s v="Land"/>
    <s v="Mogadishu"/>
    <d v="2025-08-05T00:00:00"/>
    <x v="1"/>
    <d v="2025-08-05T00:00:00"/>
  </r>
  <r>
    <s v="PRP0161"/>
    <d v="2026-05-04T00:00:00"/>
    <x v="3"/>
    <x v="3"/>
    <n v="257"/>
    <n v="3"/>
    <n v="178260.23"/>
    <x v="2"/>
    <n v="113"/>
    <s v="0161"/>
    <n v="6"/>
    <s v="House"/>
    <s v="Garowe"/>
    <d v="2026-05-04T00:00:00"/>
    <x v="0"/>
    <d v="2026-05-04T00:00:00"/>
  </r>
  <r>
    <s v="PRP0160"/>
    <d v="2025-06-24T00:00:00"/>
    <x v="0"/>
    <x v="2"/>
    <n v="110"/>
    <n v="5"/>
    <n v="89377.91"/>
    <x v="0"/>
    <n v="427"/>
    <s v="0160"/>
    <n v="9"/>
    <s v="Apartment"/>
    <s v="Mogadishu"/>
    <d v="2025-06-24T00:00:00"/>
    <x v="1"/>
    <d v="2025-06-24T00:00:00"/>
  </r>
  <r>
    <s v="PRP0001"/>
    <d v="2025-02-18T00:00:00"/>
    <x v="3"/>
    <x v="2"/>
    <n v="272"/>
    <n v="2"/>
    <n v="248870.37"/>
    <x v="1"/>
    <n v="553"/>
    <s v="0001"/>
    <n v="9"/>
    <s v="House"/>
    <s v="Mogadishu"/>
    <d v="2025-02-18T00:00:00"/>
    <x v="1"/>
    <d v="2025-02-18T00:00:00"/>
  </r>
  <r>
    <s v="Unknown08"/>
    <d v="2025-05-20T00:00:00"/>
    <x v="4"/>
    <x v="2"/>
    <n v="370"/>
    <n v="0"/>
    <n v="367832.51"/>
    <x v="1"/>
    <n v="462"/>
    <s v="wn08"/>
    <n v="9"/>
    <s v="Commercial"/>
    <s v="Mogadishu"/>
    <d v="2025-05-20T00:00:00"/>
    <x v="1"/>
    <d v="2025-05-20T00:00:00"/>
  </r>
  <r>
    <s v="PRP0156"/>
    <d v="2026-04-26T00:00:00"/>
    <x v="4"/>
    <x v="0"/>
    <n v="295"/>
    <n v="0"/>
    <n v="234986.41"/>
    <x v="1"/>
    <n v="121"/>
    <s v="0156"/>
    <n v="8"/>
    <s v="Commercial"/>
    <s v="Hargeisa"/>
    <d v="2026-04-26T00:00:00"/>
    <x v="0"/>
    <d v="2026-04-26T00:00:00"/>
  </r>
  <r>
    <s v="PRP0013"/>
    <d v="2025-02-04T00:00:00"/>
    <x v="2"/>
    <x v="1"/>
    <n v="370"/>
    <n v="4"/>
    <n v="197459.85"/>
    <x v="2"/>
    <n v="567"/>
    <s v="0013"/>
    <n v="6"/>
    <s v="Villa"/>
    <s v="Baidoa"/>
    <d v="2025-02-04T00:00:00"/>
    <x v="1"/>
    <d v="2025-02-04T00:00:00"/>
  </r>
  <r>
    <s v="PRP0084"/>
    <d v="2026-03-01T00:00:00"/>
    <x v="2"/>
    <x v="4"/>
    <n v="2015"/>
    <n v="1"/>
    <n v="387835.35"/>
    <x v="1"/>
    <n v="177"/>
    <s v="0084"/>
    <n v="6"/>
    <s v="Villa"/>
    <s v="Bosaso"/>
    <d v="2026-03-01T00:00:00"/>
    <x v="0"/>
    <d v="2026-03-01T00:00:00"/>
  </r>
  <r>
    <s v="Unknown09"/>
    <d v="2025-04-24T00:00:00"/>
    <x v="0"/>
    <x v="4"/>
    <n v="109"/>
    <n v="3"/>
    <n v="63318.239999999998"/>
    <x v="0"/>
    <n v="488"/>
    <s v="wn09"/>
    <n v="6"/>
    <s v="Apartment"/>
    <s v="Bosaso"/>
    <d v="2025-04-24T00:00:00"/>
    <x v="1"/>
    <d v="2025-04-24T00:00:00"/>
  </r>
  <r>
    <s v="Unknown10"/>
    <d v="2025-11-22T00:00:00"/>
    <x v="3"/>
    <x v="0"/>
    <n v="278"/>
    <n v="4"/>
    <n v="198006.25"/>
    <x v="2"/>
    <n v="276"/>
    <s v="wn10"/>
    <n v="8"/>
    <s v="House"/>
    <s v="Hargeisa"/>
    <d v="2025-11-22T00:00:00"/>
    <x v="1"/>
    <d v="2025-11-22T00:00:00"/>
  </r>
  <r>
    <s v="PRP0204"/>
    <d v="2026-06-23T00:00:00"/>
    <x v="0"/>
    <x v="2"/>
    <n v="163"/>
    <n v="5"/>
    <n v="178260.23"/>
    <x v="2"/>
    <n v="63"/>
    <s v="0204"/>
    <n v="9"/>
    <s v="Apartment"/>
    <s v="Mogadishu"/>
    <d v="2026-06-23T00:00:00"/>
    <x v="0"/>
    <d v="2026-06-23T00:00:00"/>
  </r>
  <r>
    <s v="PRP0261"/>
    <d v="2025-03-07T00:00:00"/>
    <x v="3"/>
    <x v="0"/>
    <n v="243"/>
    <n v="6"/>
    <n v="143567.67000000001"/>
    <x v="2"/>
    <n v="536"/>
    <s v="0261"/>
    <n v="8"/>
    <s v="House"/>
    <s v="Hargeisa"/>
    <d v="2025-03-07T00:00:00"/>
    <x v="1"/>
    <d v="2025-03-07T00:00:00"/>
  </r>
  <r>
    <s v="PRP0030"/>
    <s v="Unknown"/>
    <x v="4"/>
    <x v="4"/>
    <n v="85"/>
    <n v="0"/>
    <n v="68505.66"/>
    <x v="0"/>
    <s v="Unknown"/>
    <s v="0030"/>
    <n v="6"/>
    <s v="Commercial"/>
    <s v="Bosaso"/>
    <s v="Unknown"/>
    <x v="2"/>
    <s v=""/>
  </r>
  <r>
    <s v="PRP0165"/>
    <d v="2025-03-27T00:00:00"/>
    <x v="0"/>
    <x v="0"/>
    <n v="98"/>
    <n v="6"/>
    <n v="66905.66"/>
    <x v="0"/>
    <n v="516"/>
    <s v="0165"/>
    <n v="8"/>
    <s v="Apartment"/>
    <s v="Hargeisa"/>
    <d v="2025-03-27T00:00:00"/>
    <x v="1"/>
    <d v="2025-03-27T00:00:00"/>
  </r>
  <r>
    <s v="PRP0254"/>
    <d v="2025-10-17T00:00:00"/>
    <x v="0"/>
    <x v="2"/>
    <n v="45"/>
    <n v="4"/>
    <n v="43452.44"/>
    <x v="0"/>
    <n v="312"/>
    <s v="0254"/>
    <n v="9"/>
    <s v="Apartment"/>
    <s v="Mogadishu"/>
    <d v="2025-10-17T00:00:00"/>
    <x v="1"/>
    <d v="2025-10-17T00:00:00"/>
  </r>
  <r>
    <s v="PRP0263"/>
    <d v="2026-02-11T00:00:00"/>
    <x v="0"/>
    <x v="2"/>
    <n v="167"/>
    <n v="5"/>
    <n v="165536.85999999999"/>
    <x v="2"/>
    <n v="195"/>
    <s v="0263"/>
    <n v="9"/>
    <s v="Apartment"/>
    <s v="Mogadishu"/>
    <d v="2026-02-11T00:00:00"/>
    <x v="0"/>
    <d v="2026-02-11T00:00:00"/>
  </r>
  <r>
    <s v="PRP0253"/>
    <d v="2025-06-17T00:00:00"/>
    <x v="0"/>
    <x v="1"/>
    <n v="179"/>
    <n v="4"/>
    <n v="69380.52"/>
    <x v="0"/>
    <n v="434"/>
    <s v="0253"/>
    <n v="6"/>
    <s v="Apartment"/>
    <s v="Baidoa"/>
    <d v="2025-06-17T00:00:00"/>
    <x v="1"/>
    <d v="2025-06-17T00:00:00"/>
  </r>
  <r>
    <s v="PRP0145"/>
    <d v="2026-03-29T00:00:00"/>
    <x v="4"/>
    <x v="3"/>
    <n v="67"/>
    <n v="0"/>
    <n v="53434.66"/>
    <x v="0"/>
    <n v="149"/>
    <s v="0145"/>
    <n v="6"/>
    <s v="Commercial"/>
    <s v="Garowe"/>
    <d v="2026-03-29T00:00:00"/>
    <x v="0"/>
    <d v="2026-03-29T00:00:00"/>
  </r>
  <r>
    <s v="PRP0152"/>
    <s v="Unknown"/>
    <x v="5"/>
    <x v="4"/>
    <n v="946"/>
    <n v="0"/>
    <n v="439320.47"/>
    <x v="1"/>
    <s v="Unknown"/>
    <s v="0152"/>
    <n v="6"/>
    <s v="Land"/>
    <s v="Bosaso"/>
    <s v="Unknown"/>
    <x v="2"/>
    <s v=""/>
  </r>
  <r>
    <s v="PRP0194"/>
    <d v="2025-04-26T00:00:00"/>
    <x v="0"/>
    <x v="2"/>
    <n v="73"/>
    <n v="3"/>
    <n v="53095.29"/>
    <x v="0"/>
    <n v="486"/>
    <s v="0194"/>
    <n v="9"/>
    <s v="Apartment"/>
    <s v="Mogadishu"/>
    <d v="2025-04-26T00:00:00"/>
    <x v="1"/>
    <d v="2025-04-26T00:00:00"/>
  </r>
  <r>
    <s v="PRP0241"/>
    <d v="2025-12-03T00:00:00"/>
    <x v="2"/>
    <x v="6"/>
    <n v="250"/>
    <n v="4"/>
    <n v="236965.25"/>
    <x v="1"/>
    <n v="265"/>
    <s v="0241"/>
    <n v="7"/>
    <s v="Villa"/>
    <s v="Unknown"/>
    <d v="2025-12-03T00:00:00"/>
    <x v="1"/>
    <d v="2025-12-03T00:00:00"/>
  </r>
  <r>
    <s v="PRP0288"/>
    <d v="2025-08-19T00:00:00"/>
    <x v="4"/>
    <x v="4"/>
    <n v="121"/>
    <n v="0"/>
    <n v="90730.46"/>
    <x v="0"/>
    <n v="371"/>
    <s v="0288"/>
    <n v="6"/>
    <s v="Commercial"/>
    <s v="Bosaso"/>
    <d v="2025-08-19T00:00:00"/>
    <x v="1"/>
    <d v="2025-08-19T00:00:00"/>
  </r>
  <r>
    <s v="PRP0028"/>
    <d v="2025-06-19T00:00:00"/>
    <x v="0"/>
    <x v="3"/>
    <n v="164"/>
    <n v="4"/>
    <n v="94468.46"/>
    <x v="0"/>
    <n v="432"/>
    <s v="0028"/>
    <n v="6"/>
    <s v="Apartment"/>
    <s v="Garowe"/>
    <d v="2025-06-19T00:00:00"/>
    <x v="1"/>
    <d v="2025-06-19T00:00:00"/>
  </r>
  <r>
    <s v="PRP0012"/>
    <d v="2025-03-03T00:00:00"/>
    <x v="3"/>
    <x v="5"/>
    <n v="275"/>
    <n v="1"/>
    <n v="179626.83"/>
    <x v="2"/>
    <n v="540"/>
    <s v="0012"/>
    <n v="7"/>
    <s v="House"/>
    <s v="Kismayo"/>
    <d v="2025-03-03T00:00:00"/>
    <x v="1"/>
    <d v="2025-03-03T00:00:00"/>
  </r>
  <r>
    <s v="PRP0150"/>
    <d v="2026-07-21T00:00:00"/>
    <x v="4"/>
    <x v="3"/>
    <n v="282"/>
    <n v="0"/>
    <n v="259324.65"/>
    <x v="1"/>
    <n v="35"/>
    <s v="0150"/>
    <n v="6"/>
    <s v="Commercial"/>
    <s v="Garowe"/>
    <d v="2026-07-21T00:00:00"/>
    <x v="0"/>
    <d v="2026-07-21T00:00:00"/>
  </r>
  <r>
    <s v="PRP0166"/>
    <d v="2025-05-14T00:00:00"/>
    <x v="0"/>
    <x v="1"/>
    <n v="53"/>
    <n v="3"/>
    <n v="17505.310000000001"/>
    <x v="0"/>
    <n v="468"/>
    <s v="0166"/>
    <n v="6"/>
    <s v="Apartment"/>
    <s v="Baidoa"/>
    <d v="2025-05-14T00:00:00"/>
    <x v="1"/>
    <d v="2025-05-14T00:00:00"/>
  </r>
  <r>
    <s v="PRP0063"/>
    <d v="2025-01-27T00:00:00"/>
    <x v="4"/>
    <x v="6"/>
    <n v="480"/>
    <n v="0"/>
    <n v="374537.91"/>
    <x v="1"/>
    <n v="575"/>
    <s v="0063"/>
    <n v="7"/>
    <s v="Commercial"/>
    <s v="Unknown"/>
    <d v="2025-01-27T00:00:00"/>
    <x v="1"/>
    <d v="2025-01-27T00:00:00"/>
  </r>
  <r>
    <s v="PRP0010"/>
    <d v="2026-02-01T00:00:00"/>
    <x v="3"/>
    <x v="2"/>
    <n v="180"/>
    <n v="3"/>
    <n v="177806.97"/>
    <x v="2"/>
    <n v="205"/>
    <s v="0010"/>
    <n v="9"/>
    <s v="House"/>
    <s v="Mogadishu"/>
    <d v="2026-02-01T00:00:00"/>
    <x v="0"/>
    <d v="2026-02-01T00:00:00"/>
  </r>
  <r>
    <s v="PRP0282"/>
    <d v="2026-04-07T00:00:00"/>
    <x v="3"/>
    <x v="2"/>
    <n v="295"/>
    <n v="6"/>
    <n v="167940.3"/>
    <x v="2"/>
    <n v="140"/>
    <s v="0282"/>
    <n v="9"/>
    <s v="House"/>
    <s v="Mogadishu"/>
    <d v="2026-04-07T00:00:00"/>
    <x v="0"/>
    <d v="2026-04-07T00:00:00"/>
  </r>
  <r>
    <s v="PRP0109"/>
    <d v="2025-02-16T00:00:00"/>
    <x v="5"/>
    <x v="0"/>
    <n v="932"/>
    <n v="0"/>
    <n v="381069.18"/>
    <x v="1"/>
    <n v="555"/>
    <s v="0109"/>
    <n v="8"/>
    <s v="Land"/>
    <s v="Hargeisa"/>
    <d v="2025-02-16T00:00:00"/>
    <x v="1"/>
    <d v="2025-02-16T00:00:00"/>
  </r>
  <r>
    <s v="Unknown11"/>
    <d v="2025-03-24T00:00:00"/>
    <x v="0"/>
    <x v="0"/>
    <n v="48"/>
    <n v="5"/>
    <n v="29776.16"/>
    <x v="0"/>
    <n v="519"/>
    <s v="wn11"/>
    <n v="8"/>
    <s v="Apartment"/>
    <s v="Hargeisa"/>
    <d v="2025-03-24T00:00:00"/>
    <x v="1"/>
    <d v="2025-03-24T00:00:00"/>
  </r>
  <r>
    <s v="PRP0034"/>
    <d v="2025-12-15T00:00:00"/>
    <x v="0"/>
    <x v="1"/>
    <n v="295"/>
    <n v="1"/>
    <n v="26350.21"/>
    <x v="0"/>
    <n v="253"/>
    <s v="0034"/>
    <n v="6"/>
    <s v="Apartment"/>
    <s v="Baidoa"/>
    <d v="2025-12-15T00:00:00"/>
    <x v="1"/>
    <d v="2025-12-15T00:00:00"/>
  </r>
  <r>
    <s v="PRP0026"/>
    <d v="2025-01-13T00:00:00"/>
    <x v="3"/>
    <x v="5"/>
    <n v="271"/>
    <n v="3"/>
    <n v="164521.60999999999"/>
    <x v="2"/>
    <n v="589"/>
    <s v="0026"/>
    <n v="7"/>
    <s v="House"/>
    <s v="Kismayo"/>
    <d v="2025-01-13T00:00:00"/>
    <x v="1"/>
    <d v="2025-01-13T00:00:00"/>
  </r>
  <r>
    <s v="PRP0005"/>
    <d v="2025-08-12T00:00:00"/>
    <x v="1"/>
    <x v="2"/>
    <n v="211"/>
    <n v="4"/>
    <n v="166531.88"/>
    <x v="2"/>
    <n v="378"/>
    <s v="0005"/>
    <n v="9"/>
    <s v="Unknown"/>
    <s v="Mogadishu"/>
    <d v="2025-08-12T00:00:00"/>
    <x v="1"/>
    <d v="2025-08-12T00:00:00"/>
  </r>
  <r>
    <s v="PRP0172"/>
    <d v="2025-07-04T00:00:00"/>
    <x v="2"/>
    <x v="0"/>
    <n v="247"/>
    <n v="1"/>
    <n v="166736.47"/>
    <x v="2"/>
    <n v="417"/>
    <s v="0172"/>
    <n v="8"/>
    <s v="Villa"/>
    <s v="Hargeisa"/>
    <d v="2025-07-04T00:00:00"/>
    <x v="1"/>
    <d v="2025-07-04T00:00:00"/>
  </r>
  <r>
    <s v="PRP0044"/>
    <d v="2025-07-26T00:00:00"/>
    <x v="0"/>
    <x v="2"/>
    <n v="151"/>
    <n v="3"/>
    <n v="132514.54"/>
    <x v="2"/>
    <n v="395"/>
    <s v="0044"/>
    <n v="9"/>
    <s v="Apartment"/>
    <s v="Mogadishu"/>
    <d v="2025-07-26T00:00:00"/>
    <x v="1"/>
    <d v="2025-07-26T00:00:00"/>
  </r>
  <r>
    <s v="PRP0180"/>
    <d v="2026-05-13T00:00:00"/>
    <x v="4"/>
    <x v="2"/>
    <n v="227"/>
    <n v="0"/>
    <n v="203931.01"/>
    <x v="1"/>
    <n v="104"/>
    <s v="0180"/>
    <n v="9"/>
    <s v="Commercial"/>
    <s v="Mogadishu"/>
    <d v="2026-05-13T00:00:00"/>
    <x v="0"/>
    <d v="2026-05-13T00:00:00"/>
  </r>
  <r>
    <s v="PRP0095"/>
    <d v="2026-07-02T00:00:00"/>
    <x v="1"/>
    <x v="1"/>
    <n v="139"/>
    <n v="5"/>
    <n v="55450.17"/>
    <x v="0"/>
    <n v="54"/>
    <s v="0095"/>
    <n v="6"/>
    <s v="Unknown"/>
    <s v="Baidoa"/>
    <d v="2026-07-02T00:00:00"/>
    <x v="0"/>
    <d v="2026-07-02T00:00:00"/>
  </r>
  <r>
    <s v="PRP0073"/>
    <d v="2026-03-25T00:00:00"/>
    <x v="0"/>
    <x v="2"/>
    <n v="135"/>
    <n v="5"/>
    <n v="101200.25"/>
    <x v="2"/>
    <n v="153"/>
    <s v="0073"/>
    <n v="9"/>
    <s v="Apartment"/>
    <s v="Mogadishu"/>
    <d v="2026-03-25T00:00:00"/>
    <x v="0"/>
    <d v="2026-03-25T00:00:00"/>
  </r>
  <r>
    <s v="PRP0099"/>
    <d v="2025-02-03T00:00:00"/>
    <x v="1"/>
    <x v="2"/>
    <n v="964"/>
    <n v="0"/>
    <n v="620677.11"/>
    <x v="1"/>
    <n v="568"/>
    <s v="0099"/>
    <n v="9"/>
    <s v="Unknown"/>
    <s v="Mogadishu"/>
    <d v="2025-02-03T00:00:00"/>
    <x v="1"/>
    <d v="2025-02-03T00:00:00"/>
  </r>
  <r>
    <s v="PRP0126"/>
    <d v="2025-09-10T00:00:00"/>
    <x v="3"/>
    <x v="0"/>
    <n v="153"/>
    <n v="4"/>
    <n v="126438.58"/>
    <x v="2"/>
    <n v="349"/>
    <s v="0126"/>
    <n v="8"/>
    <s v="House"/>
    <s v="Hargeisa"/>
    <d v="2025-09-10T00:00:00"/>
    <x v="1"/>
    <d v="2025-09-10T00:00:00"/>
  </r>
  <r>
    <s v="PRP0082"/>
    <d v="2025-05-18T00:00:00"/>
    <x v="5"/>
    <x v="4"/>
    <n v="876"/>
    <n v="0"/>
    <n v="257158.82"/>
    <x v="1"/>
    <n v="464"/>
    <s v="0082"/>
    <n v="6"/>
    <s v="Land"/>
    <s v="Bosaso"/>
    <d v="2025-05-18T00:00:00"/>
    <x v="1"/>
    <d v="2025-05-18T00:00:00"/>
  </r>
  <r>
    <s v="PRP0096"/>
    <d v="2026-04-28T00:00:00"/>
    <x v="0"/>
    <x v="0"/>
    <n v="136"/>
    <n v="5"/>
    <n v="104361.2"/>
    <x v="2"/>
    <n v="119"/>
    <s v="0096"/>
    <n v="8"/>
    <s v="Apartment"/>
    <s v="Hargeisa"/>
    <d v="2026-04-28T00:00:00"/>
    <x v="0"/>
    <d v="2026-04-28T00:00:00"/>
  </r>
  <r>
    <s v="PRP0237"/>
    <d v="2026-06-07T00:00:00"/>
    <x v="0"/>
    <x v="4"/>
    <n v="99"/>
    <n v="2"/>
    <n v="60868.21"/>
    <x v="0"/>
    <n v="79"/>
    <s v="0237"/>
    <n v="6"/>
    <s v="Apartment"/>
    <s v="Bosaso"/>
    <d v="2026-06-07T00:00:00"/>
    <x v="0"/>
    <d v="2026-06-07T00:00:00"/>
  </r>
  <r>
    <s v="Unknown12"/>
    <d v="2026-06-22T00:00:00"/>
    <x v="3"/>
    <x v="2"/>
    <n v="174"/>
    <n v="1"/>
    <n v="118866.51"/>
    <x v="2"/>
    <n v="64"/>
    <s v="wn12"/>
    <n v="9"/>
    <s v="House"/>
    <s v="Mogadishu"/>
    <d v="2026-06-22T00:00:00"/>
    <x v="0"/>
    <d v="2026-06-22T00:00:00"/>
  </r>
  <r>
    <s v="PRP0272"/>
    <d v="2026-01-04T00:00:00"/>
    <x v="4"/>
    <x v="4"/>
    <n v="176"/>
    <n v="0"/>
    <n v="178260.23"/>
    <x v="2"/>
    <n v="233"/>
    <s v="0272"/>
    <n v="6"/>
    <s v="Commercial"/>
    <s v="Bosaso"/>
    <d v="2026-01-04T00:00:00"/>
    <x v="0"/>
    <d v="2026-01-04T00:00:00"/>
  </r>
  <r>
    <s v="PRP0174"/>
    <d v="2025-01-09T00:00:00"/>
    <x v="3"/>
    <x v="2"/>
    <n v="197"/>
    <n v="6"/>
    <n v="189446.43"/>
    <x v="2"/>
    <n v="593"/>
    <s v="0174"/>
    <n v="9"/>
    <s v="House"/>
    <s v="Mogadishu"/>
    <d v="2025-01-09T00:00:00"/>
    <x v="1"/>
    <d v="2025-01-09T00:00:00"/>
  </r>
  <r>
    <s v="PRP0098"/>
    <d v="2025-07-16T00:00:00"/>
    <x v="2"/>
    <x v="1"/>
    <n v="227"/>
    <n v="6"/>
    <n v="90771.99"/>
    <x v="0"/>
    <n v="405"/>
    <s v="0098"/>
    <n v="6"/>
    <s v="Villa"/>
    <s v="Baidoa"/>
    <d v="2025-07-16T00:00:00"/>
    <x v="1"/>
    <d v="2025-07-16T00:00:00"/>
  </r>
  <r>
    <s v="PRP0206"/>
    <d v="2026-07-22T00:00:00"/>
    <x v="0"/>
    <x v="2"/>
    <n v="143"/>
    <n v="7"/>
    <n v="137022.95000000001"/>
    <x v="2"/>
    <n v="34"/>
    <s v="0206"/>
    <n v="9"/>
    <s v="Apartment"/>
    <s v="Mogadishu"/>
    <d v="2026-07-22T00:00:00"/>
    <x v="0"/>
    <d v="2026-07-22T00:00:00"/>
  </r>
  <r>
    <s v="PRP0202"/>
    <d v="2025-02-21T00:00:00"/>
    <x v="4"/>
    <x v="4"/>
    <n v="121"/>
    <n v="0"/>
    <n v="115011.18"/>
    <x v="2"/>
    <n v="550"/>
    <s v="0202"/>
    <n v="6"/>
    <s v="Commercial"/>
    <s v="Bosaso"/>
    <d v="2025-02-21T00:00:00"/>
    <x v="1"/>
    <d v="2025-02-21T00:00:00"/>
  </r>
  <r>
    <s v="PRP0163"/>
    <d v="2026-05-05T00:00:00"/>
    <x v="1"/>
    <x v="2"/>
    <n v="220"/>
    <n v="4"/>
    <n v="139367.63"/>
    <x v="2"/>
    <n v="112"/>
    <s v="0163"/>
    <n v="9"/>
    <s v="Unknown"/>
    <s v="Mogadishu"/>
    <d v="2026-05-05T00:00:00"/>
    <x v="0"/>
    <d v="2026-05-05T00:00:00"/>
  </r>
  <r>
    <s v="PRP0033"/>
    <d v="2025-11-16T00:00:00"/>
    <x v="0"/>
    <x v="2"/>
    <n v="150"/>
    <n v="4"/>
    <n v="142440.4"/>
    <x v="2"/>
    <n v="282"/>
    <s v="0033"/>
    <n v="9"/>
    <s v="Apartment"/>
    <s v="Mogadishu"/>
    <d v="2025-11-16T00:00:00"/>
    <x v="1"/>
    <d v="2025-11-16T00:00:00"/>
  </r>
  <r>
    <s v="PRP0052"/>
    <d v="2025-07-07T00:00:00"/>
    <x v="1"/>
    <x v="1"/>
    <n v="85"/>
    <n v="2"/>
    <n v="31577.45"/>
    <x v="0"/>
    <n v="414"/>
    <s v="0052"/>
    <n v="6"/>
    <s v="Unknown"/>
    <s v="Baidoa"/>
    <d v="2025-07-07T00:00:00"/>
    <x v="1"/>
    <d v="2025-07-07T00:00:00"/>
  </r>
  <r>
    <s v="PRP0023"/>
    <d v="2025-09-07T00:00:00"/>
    <x v="0"/>
    <x v="4"/>
    <n v="86"/>
    <n v="4"/>
    <n v="52826.79"/>
    <x v="0"/>
    <n v="352"/>
    <s v="0023"/>
    <n v="6"/>
    <s v="Apartment"/>
    <s v="Bosaso"/>
    <d v="2025-09-07T00:00:00"/>
    <x v="1"/>
    <d v="2025-09-07T00:00:00"/>
  </r>
  <r>
    <s v="Unknown13"/>
    <d v="2026-07-15T00:00:00"/>
    <x v="5"/>
    <x v="2"/>
    <n v="1178"/>
    <n v="0"/>
    <n v="647780.75"/>
    <x v="1"/>
    <n v="41"/>
    <s v="wn13"/>
    <n v="9"/>
    <s v="Land"/>
    <s v="Mogadishu"/>
    <d v="2026-07-15T00:00:00"/>
    <x v="0"/>
    <d v="2026-07-15T00:00:00"/>
  </r>
  <r>
    <s v="PRP0065"/>
    <d v="2026-04-25T00:00:00"/>
    <x v="2"/>
    <x v="6"/>
    <n v="351"/>
    <n v="4"/>
    <n v="393930.75"/>
    <x v="1"/>
    <n v="122"/>
    <s v="0065"/>
    <n v="7"/>
    <s v="Villa"/>
    <s v="Unknown"/>
    <d v="2026-04-25T00:00:00"/>
    <x v="0"/>
    <d v="2026-04-25T00:00:00"/>
  </r>
  <r>
    <s v="PRP0124"/>
    <d v="2026-01-06T00:00:00"/>
    <x v="2"/>
    <x v="6"/>
    <n v="206"/>
    <n v="2"/>
    <n v="129894.71"/>
    <x v="2"/>
    <n v="231"/>
    <s v="0124"/>
    <n v="7"/>
    <s v="Villa"/>
    <s v="Unknown"/>
    <d v="2026-01-06T00:00:00"/>
    <x v="0"/>
    <d v="2026-01-06T00:00:00"/>
  </r>
  <r>
    <s v="PRP0015"/>
    <d v="2025-11-22T00:00:00"/>
    <x v="0"/>
    <x v="4"/>
    <n v="140"/>
    <n v="1"/>
    <n v="71176.98"/>
    <x v="0"/>
    <n v="276"/>
    <s v="0015"/>
    <n v="6"/>
    <s v="Apartment"/>
    <s v="Bosaso"/>
    <d v="2025-11-22T00:00:00"/>
    <x v="1"/>
    <d v="2025-11-22T00:00:00"/>
  </r>
  <r>
    <s v="PRP0179"/>
    <d v="2026-06-27T00:00:00"/>
    <x v="2"/>
    <x v="2"/>
    <n v="446"/>
    <n v="2"/>
    <n v="411454.97"/>
    <x v="1"/>
    <n v="59"/>
    <s v="0179"/>
    <n v="9"/>
    <s v="Villa"/>
    <s v="Mogadishu"/>
    <d v="2026-06-27T00:00:00"/>
    <x v="0"/>
    <d v="2026-06-27T00:00:00"/>
  </r>
  <r>
    <s v="PRP0238"/>
    <d v="2026-04-06T00:00:00"/>
    <x v="0"/>
    <x v="3"/>
    <n v="156"/>
    <n v="3"/>
    <n v="93585.85"/>
    <x v="0"/>
    <n v="141"/>
    <s v="0238"/>
    <n v="6"/>
    <s v="Apartment"/>
    <s v="Garowe"/>
    <d v="2026-04-06T00:00:00"/>
    <x v="0"/>
    <d v="2026-04-06T00:00:00"/>
  </r>
  <r>
    <s v="Unknown14"/>
    <d v="2025-01-17T00:00:00"/>
    <x v="0"/>
    <x v="4"/>
    <n v="54"/>
    <n v="6"/>
    <n v="28982.99"/>
    <x v="0"/>
    <n v="585"/>
    <s v="wn14"/>
    <n v="6"/>
    <s v="Apartment"/>
    <s v="Bosaso"/>
    <d v="2025-01-17T00:00:00"/>
    <x v="1"/>
    <d v="2025-01-17T00:00:00"/>
  </r>
  <r>
    <s v="PRP0049"/>
    <d v="2025-11-18T00:00:00"/>
    <x v="3"/>
    <x v="4"/>
    <n v="129"/>
    <n v="2"/>
    <n v="90085.26"/>
    <x v="0"/>
    <n v="280"/>
    <s v="0049"/>
    <n v="6"/>
    <s v="House"/>
    <s v="Bosaso"/>
    <d v="2025-11-18T00:00:00"/>
    <x v="1"/>
    <d v="2025-11-18T00:00:00"/>
  </r>
  <r>
    <s v="PRP0046"/>
    <d v="2025-01-23T00:00:00"/>
    <x v="3"/>
    <x v="3"/>
    <n v="275"/>
    <n v="5"/>
    <n v="139716.45000000001"/>
    <x v="2"/>
    <n v="579"/>
    <s v="0046"/>
    <n v="6"/>
    <s v="House"/>
    <s v="Garowe"/>
    <d v="2025-01-23T00:00:00"/>
    <x v="1"/>
    <d v="2025-01-23T00:00:00"/>
  </r>
  <r>
    <s v="PRP0176"/>
    <d v="2025-11-03T00:00:00"/>
    <x v="4"/>
    <x v="2"/>
    <n v="379"/>
    <n v="0"/>
    <n v="367240.24"/>
    <x v="1"/>
    <n v="295"/>
    <s v="0176"/>
    <n v="9"/>
    <s v="Commercial"/>
    <s v="Mogadishu"/>
    <d v="2025-11-03T00:00:00"/>
    <x v="1"/>
    <d v="2025-11-03T00:00:00"/>
  </r>
  <r>
    <s v="PRP0186"/>
    <d v="2026-02-05T00:00:00"/>
    <x v="4"/>
    <x v="1"/>
    <n v="438"/>
    <n v="0"/>
    <n v="320632.78999999998"/>
    <x v="1"/>
    <n v="201"/>
    <s v="0186"/>
    <n v="6"/>
    <s v="Commercial"/>
    <s v="Baidoa"/>
    <d v="2026-02-05T00:00:00"/>
    <x v="0"/>
    <d v="2026-02-05T00:00:00"/>
  </r>
  <r>
    <s v="PRP0275"/>
    <d v="2026-04-24T00:00:00"/>
    <x v="0"/>
    <x v="3"/>
    <n v="295"/>
    <n v="4"/>
    <n v="30944.31"/>
    <x v="0"/>
    <n v="123"/>
    <s v="0275"/>
    <n v="6"/>
    <s v="Apartment"/>
    <s v="Garowe"/>
    <d v="2026-04-24T00:00:00"/>
    <x v="0"/>
    <d v="2026-04-24T00:00:00"/>
  </r>
  <r>
    <s v="PRP0014"/>
    <d v="2026-04-16T00:00:00"/>
    <x v="3"/>
    <x v="2"/>
    <n v="247"/>
    <n v="2"/>
    <n v="199671.1"/>
    <x v="2"/>
    <n v="131"/>
    <s v="0014"/>
    <n v="9"/>
    <s v="House"/>
    <s v="Mogadishu"/>
    <d v="2026-04-16T00:00:00"/>
    <x v="0"/>
    <d v="2026-04-16T00:00:00"/>
  </r>
  <r>
    <s v="PRP0198"/>
    <d v="2026-05-28T00:00:00"/>
    <x v="5"/>
    <x v="2"/>
    <n v="178"/>
    <n v="0"/>
    <n v="98954.2"/>
    <x v="0"/>
    <n v="89"/>
    <s v="0198"/>
    <n v="9"/>
    <s v="Land"/>
    <s v="Mogadishu"/>
    <d v="2026-05-28T00:00:00"/>
    <x v="0"/>
    <d v="2026-05-28T00:00:00"/>
  </r>
  <r>
    <s v="PRP0004"/>
    <d v="2025-04-11T00:00:00"/>
    <x v="0"/>
    <x v="0"/>
    <n v="120"/>
    <n v="4"/>
    <n v="79125.929999999993"/>
    <x v="0"/>
    <n v="501"/>
    <s v="0004"/>
    <n v="8"/>
    <s v="Apartment"/>
    <s v="Hargeisa"/>
    <d v="2025-04-11T00:00:00"/>
    <x v="1"/>
    <d v="2025-04-11T00:00:00"/>
  </r>
  <r>
    <s v="PRP0048"/>
    <d v="2026-03-22T00:00:00"/>
    <x v="3"/>
    <x v="2"/>
    <n v="155"/>
    <n v="4"/>
    <n v="126254.52"/>
    <x v="2"/>
    <n v="156"/>
    <s v="0048"/>
    <n v="9"/>
    <s v="House"/>
    <s v="Mogadishu"/>
    <d v="2026-03-22T00:00:00"/>
    <x v="0"/>
    <d v="2026-03-22T00:00:00"/>
  </r>
  <r>
    <s v="PRP0037"/>
    <d v="2025-03-04T00:00:00"/>
    <x v="2"/>
    <x v="6"/>
    <n v="336"/>
    <n v="5"/>
    <n v="212203.17"/>
    <x v="1"/>
    <n v="539"/>
    <s v="0037"/>
    <n v="7"/>
    <s v="Villa"/>
    <s v="Unknown"/>
    <d v="2025-03-04T00:00:00"/>
    <x v="1"/>
    <d v="2025-03-04T00:00:00"/>
  </r>
  <r>
    <s v="PRP0067"/>
    <d v="2025-07-13T00:00:00"/>
    <x v="0"/>
    <x v="3"/>
    <n v="63"/>
    <n v="3"/>
    <n v="31555.03"/>
    <x v="0"/>
    <n v="408"/>
    <s v="0067"/>
    <n v="6"/>
    <s v="Apartment"/>
    <s v="Garowe"/>
    <d v="2025-07-13T00:00:00"/>
    <x v="1"/>
    <d v="2025-07-13T00:00:00"/>
  </r>
  <r>
    <s v="PRP0219"/>
    <d v="2025-08-31T00:00:00"/>
    <x v="0"/>
    <x v="3"/>
    <n v="75"/>
    <n v="2"/>
    <n v="36230.51"/>
    <x v="0"/>
    <n v="359"/>
    <s v="0219"/>
    <n v="6"/>
    <s v="Apartment"/>
    <s v="Garowe"/>
    <d v="2025-08-31T00:00:00"/>
    <x v="1"/>
    <d v="2025-08-31T00:00:00"/>
  </r>
  <r>
    <s v="PRP0038"/>
    <d v="2026-04-15T00:00:00"/>
    <x v="1"/>
    <x v="6"/>
    <n v="1088"/>
    <n v="0"/>
    <n v="345994.4"/>
    <x v="1"/>
    <n v="132"/>
    <s v="0038"/>
    <n v="7"/>
    <s v="Unknown"/>
    <s v="Unknown"/>
    <d v="2026-04-15T00:00:00"/>
    <x v="0"/>
    <d v="2026-04-15T00:00:00"/>
  </r>
  <r>
    <s v="PRP0270"/>
    <d v="2026-02-14T00:00:00"/>
    <x v="0"/>
    <x v="2"/>
    <n v="153"/>
    <n v="3"/>
    <n v="145555.35"/>
    <x v="2"/>
    <n v="192"/>
    <s v="0270"/>
    <n v="9"/>
    <s v="Apartment"/>
    <s v="Mogadishu"/>
    <d v="2026-02-14T00:00:00"/>
    <x v="0"/>
    <d v="2026-02-14T00:00:00"/>
  </r>
  <r>
    <s v="PRP0201"/>
    <d v="2026-07-20T00:00:00"/>
    <x v="2"/>
    <x v="4"/>
    <n v="221"/>
    <n v="3"/>
    <n v="135679.79"/>
    <x v="2"/>
    <n v="36"/>
    <s v="0201"/>
    <n v="6"/>
    <s v="Villa"/>
    <s v="Bosaso"/>
    <d v="2026-07-20T00:00:00"/>
    <x v="0"/>
    <d v="2026-07-20T00:00:00"/>
  </r>
  <r>
    <s v="PRP0162"/>
    <d v="2025-07-07T00:00:00"/>
    <x v="4"/>
    <x v="2"/>
    <n v="109"/>
    <n v="0"/>
    <n v="132337.57"/>
    <x v="2"/>
    <n v="414"/>
    <s v="0162"/>
    <n v="9"/>
    <s v="Commercial"/>
    <s v="Mogadishu"/>
    <d v="2025-07-07T00:00:00"/>
    <x v="1"/>
    <d v="2025-07-07T00:00:00"/>
  </r>
  <r>
    <s v="PRP0292"/>
    <d v="2025-02-24T00:00:00"/>
    <x v="3"/>
    <x v="5"/>
    <n v="167"/>
    <n v="4"/>
    <n v="65924.83"/>
    <x v="0"/>
    <n v="547"/>
    <s v="0292"/>
    <n v="7"/>
    <s v="House"/>
    <s v="Kismayo"/>
    <d v="2025-02-24T00:00:00"/>
    <x v="1"/>
    <d v="2025-02-24T00:00:00"/>
  </r>
  <r>
    <s v="PRP0055"/>
    <d v="2025-04-04T00:00:00"/>
    <x v="3"/>
    <x v="2"/>
    <n v="221"/>
    <n v="2"/>
    <n v="230649.13"/>
    <x v="1"/>
    <n v="508"/>
    <s v="0055"/>
    <n v="9"/>
    <s v="House"/>
    <s v="Mogadishu"/>
    <d v="2025-04-04T00:00:00"/>
    <x v="1"/>
    <d v="2025-04-04T00:00:00"/>
  </r>
  <r>
    <s v="PRP0116"/>
    <d v="2026-01-06T00:00:00"/>
    <x v="1"/>
    <x v="1"/>
    <n v="59"/>
    <n v="1"/>
    <n v="19255.29"/>
    <x v="0"/>
    <n v="231"/>
    <s v="0116"/>
    <n v="6"/>
    <s v="Unknown"/>
    <s v="Baidoa"/>
    <d v="2026-01-06T00:00:00"/>
    <x v="0"/>
    <d v="2026-01-06T00:00:00"/>
  </r>
  <r>
    <s v="PRP0211"/>
    <d v="2025-06-12T00:00:00"/>
    <x v="3"/>
    <x v="3"/>
    <n v="106"/>
    <n v="3"/>
    <n v="178260.23"/>
    <x v="2"/>
    <n v="439"/>
    <s v="0211"/>
    <n v="6"/>
    <s v="House"/>
    <s v="Garowe"/>
    <d v="2025-06-12T00:00:00"/>
    <x v="1"/>
    <d v="2025-06-12T00:00:00"/>
  </r>
  <r>
    <s v="PRP0215"/>
    <d v="2025-12-19T00:00:00"/>
    <x v="2"/>
    <x v="5"/>
    <n v="248"/>
    <n v="3"/>
    <n v="184428.29"/>
    <x v="2"/>
    <n v="249"/>
    <s v="0215"/>
    <n v="7"/>
    <s v="Villa"/>
    <s v="Kismayo"/>
    <d v="2025-12-19T00:00:00"/>
    <x v="1"/>
    <d v="2025-12-19T00:00:00"/>
  </r>
  <r>
    <s v="PRP0192"/>
    <d v="2026-04-13T00:00:00"/>
    <x v="4"/>
    <x v="3"/>
    <n v="156"/>
    <n v="0"/>
    <n v="137599.99"/>
    <x v="2"/>
    <n v="134"/>
    <s v="0192"/>
    <n v="6"/>
    <s v="Commercial"/>
    <s v="Garowe"/>
    <d v="2026-04-13T00:00:00"/>
    <x v="0"/>
    <d v="2026-04-13T00:00:00"/>
  </r>
  <r>
    <s v="PRP0106"/>
    <d v="2025-08-07T00:00:00"/>
    <x v="2"/>
    <x v="5"/>
    <n v="384"/>
    <n v="4"/>
    <n v="189681.95"/>
    <x v="2"/>
    <n v="383"/>
    <s v="0106"/>
    <n v="7"/>
    <s v="Villa"/>
    <s v="Kismayo"/>
    <d v="2025-08-07T00:00:00"/>
    <x v="1"/>
    <d v="2025-08-07T00:00:00"/>
  </r>
  <r>
    <s v="Unknown15"/>
    <d v="2026-07-14T00:00:00"/>
    <x v="4"/>
    <x v="1"/>
    <n v="311"/>
    <n v="0"/>
    <n v="146134.06"/>
    <x v="2"/>
    <n v="42"/>
    <s v="wn15"/>
    <n v="6"/>
    <s v="Commercial"/>
    <s v="Baidoa"/>
    <d v="2026-07-14T00:00:00"/>
    <x v="0"/>
    <d v="2026-07-14T00:00:00"/>
  </r>
  <r>
    <s v="PRP0232"/>
    <d v="2025-05-14T00:00:00"/>
    <x v="3"/>
    <x v="4"/>
    <n v="165"/>
    <n v="1"/>
    <n v="93330.46"/>
    <x v="0"/>
    <n v="468"/>
    <s v="0232"/>
    <n v="6"/>
    <s v="House"/>
    <s v="Bosaso"/>
    <d v="2025-05-14T00:00:00"/>
    <x v="1"/>
    <d v="2025-05-14T00:00:00"/>
  </r>
  <r>
    <s v="PRP0226"/>
    <s v="Unknown"/>
    <x v="5"/>
    <x v="4"/>
    <n v="504"/>
    <n v="0"/>
    <n v="229164.89"/>
    <x v="1"/>
    <s v="Unknown"/>
    <s v="0226"/>
    <n v="6"/>
    <s v="Land"/>
    <s v="Bosaso"/>
    <s v="Unknown"/>
    <x v="2"/>
    <s v=""/>
  </r>
  <r>
    <s v="PRP0100"/>
    <d v="2025-05-18T00:00:00"/>
    <x v="5"/>
    <x v="0"/>
    <n v="333"/>
    <n v="0"/>
    <n v="163312.82"/>
    <x v="2"/>
    <n v="464"/>
    <s v="0100"/>
    <n v="8"/>
    <s v="Land"/>
    <s v="Hargeisa"/>
    <d v="2025-05-18T00:00:00"/>
    <x v="1"/>
    <d v="2025-05-18T00:00:00"/>
  </r>
  <r>
    <s v="PRP0144"/>
    <d v="2025-10-17T00:00:00"/>
    <x v="0"/>
    <x v="0"/>
    <n v="53"/>
    <n v="5"/>
    <n v="178260.23"/>
    <x v="2"/>
    <n v="312"/>
    <s v="0144"/>
    <n v="8"/>
    <s v="Apartment"/>
    <s v="Hargeisa"/>
    <d v="2025-10-17T00:00:00"/>
    <x v="1"/>
    <d v="2025-10-1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2A118-2F94-4760-BF36-592D9AC976CF}" name="PivotTable1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3:B66" firstHeaderRow="1" firstDataRow="1" firstDataCol="1"/>
  <pivotFields count="16">
    <pivotField showAll="0"/>
    <pivotField showAll="0"/>
    <pivotField showAll="0">
      <items count="7">
        <item h="1" x="0"/>
        <item h="1" x="4"/>
        <item h="1" x="3"/>
        <item h="1" x="5"/>
        <item x="1"/>
        <item h="1" x="2"/>
        <item t="default"/>
      </items>
    </pivotField>
    <pivotField axis="axisRow" showAll="0">
      <items count="8">
        <item h="1" x="1"/>
        <item h="1" x="4"/>
        <item h="1" x="3"/>
        <item x="0"/>
        <item h="1" x="5"/>
        <item x="2"/>
        <item h="1" x="6"/>
        <item t="default"/>
      </items>
    </pivotField>
    <pivotField showAll="0"/>
    <pivotField dataField="1"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3">
    <i>
      <x v="3"/>
    </i>
    <i>
      <x v="5"/>
    </i>
    <i t="grand">
      <x/>
    </i>
  </rowItems>
  <colItems count="1">
    <i/>
  </colItems>
  <dataFields count="1">
    <dataField name="Sum of Bedroom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4D252D-9E89-46CF-A9E2-C4EDF397C087}"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0:B53" firstHeaderRow="1" firstDataRow="1" firstDataCol="1"/>
  <pivotFields count="16">
    <pivotField showAll="0"/>
    <pivotField showAll="0"/>
    <pivotField showAll="0">
      <items count="7">
        <item h="1" x="0"/>
        <item h="1" x="4"/>
        <item h="1" x="3"/>
        <item h="1" x="5"/>
        <item x="1"/>
        <item h="1" x="2"/>
        <item t="default"/>
      </items>
    </pivotField>
    <pivotField axis="axisRow" showAll="0">
      <items count="8">
        <item h="1" x="1"/>
        <item h="1" x="4"/>
        <item h="1" x="3"/>
        <item x="0"/>
        <item h="1" x="5"/>
        <item x="2"/>
        <item h="1" x="6"/>
        <item t="default"/>
      </items>
    </pivotField>
    <pivotField dataField="1" showAll="0"/>
    <pivotField showAll="0"/>
    <pivotField numFmtId="165" showAll="0"/>
    <pivotField showAll="0">
      <items count="4">
        <item x="1"/>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3">
    <i>
      <x v="3"/>
    </i>
    <i>
      <x v="5"/>
    </i>
    <i t="grand">
      <x/>
    </i>
  </rowItems>
  <colItems count="1">
    <i/>
  </colItems>
  <dataFields count="1">
    <dataField name="Sum of Size_Sqm"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FE293-4319-4E08-B171-388DE7B3FF9A}"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9:B41" firstHeaderRow="1" firstDataRow="1" firstDataCol="1"/>
  <pivotFields count="16">
    <pivotField dataField="1" showAll="0"/>
    <pivotField showAll="0"/>
    <pivotField axis="axisRow" showAll="0">
      <items count="7">
        <item h="1" x="0"/>
        <item h="1" x="4"/>
        <item h="1" x="3"/>
        <item h="1" x="5"/>
        <item x="1"/>
        <item h="1" x="2"/>
        <item t="default"/>
      </items>
    </pivotField>
    <pivotField showAll="0">
      <items count="8">
        <item h="1" x="1"/>
        <item h="1" x="4"/>
        <item h="1" x="3"/>
        <item x="0"/>
        <item h="1" x="5"/>
        <item x="2"/>
        <item h="1" x="6"/>
        <item t="default"/>
      </items>
    </pivotField>
    <pivotField showAll="0"/>
    <pivotField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2"/>
  </rowFields>
  <rowItems count="2">
    <i>
      <x v="4"/>
    </i>
    <i t="grand">
      <x/>
    </i>
  </rowItems>
  <colItems count="1">
    <i/>
  </colItems>
  <dataFields count="1">
    <dataField name="Count of Property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4"/>
          </reference>
        </references>
      </pivotArea>
    </chartFormat>
    <chartFormat chart="2" format="14">
      <pivotArea type="data" outline="0" fieldPosition="0">
        <references count="2">
          <reference field="4294967294" count="1" selected="0">
            <x v="0"/>
          </reference>
          <reference field="2" count="1" selected="0">
            <x v="5"/>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8639AC-4760-43DC-9D9E-9BDFA137C989}"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8:A381" firstHeaderRow="1" firstDataRow="1" firstDataCol="1"/>
  <pivotFields count="1">
    <pivotField axis="axisRow" showAll="0">
      <items count="223">
        <item x="3"/>
        <item x="16"/>
        <item x="157"/>
        <item x="96"/>
        <item x="89"/>
        <item x="105"/>
        <item x="133"/>
        <item x="45"/>
        <item x="207"/>
        <item x="86"/>
        <item x="129"/>
        <item x="42"/>
        <item x="111"/>
        <item x="119"/>
        <item x="88"/>
        <item x="192"/>
        <item x="165"/>
        <item x="2"/>
        <item x="69"/>
        <item x="183"/>
        <item x="56"/>
        <item x="163"/>
        <item x="19"/>
        <item x="148"/>
        <item x="199"/>
        <item x="144"/>
        <item x="35"/>
        <item x="217"/>
        <item x="156"/>
        <item x="178"/>
        <item x="214"/>
        <item x="59"/>
        <item x="65"/>
        <item x="138"/>
        <item x="106"/>
        <item x="141"/>
        <item x="46"/>
        <item x="75"/>
        <item x="43"/>
        <item x="184"/>
        <item x="118"/>
        <item x="170"/>
        <item x="142"/>
        <item x="37"/>
        <item x="21"/>
        <item x="212"/>
        <item x="115"/>
        <item x="167"/>
        <item x="124"/>
        <item x="175"/>
        <item x="134"/>
        <item x="95"/>
        <item x="58"/>
        <item x="180"/>
        <item x="194"/>
        <item x="62"/>
        <item x="91"/>
        <item x="155"/>
        <item x="85"/>
        <item x="14"/>
        <item x="152"/>
        <item x="28"/>
        <item x="173"/>
        <item x="177"/>
        <item x="162"/>
        <item x="74"/>
        <item x="98"/>
        <item x="61"/>
        <item x="187"/>
        <item x="34"/>
        <item x="201"/>
        <item x="20"/>
        <item x="198"/>
        <item x="9"/>
        <item x="49"/>
        <item x="158"/>
        <item x="13"/>
        <item x="188"/>
        <item x="32"/>
        <item x="79"/>
        <item x="112"/>
        <item x="160"/>
        <item x="150"/>
        <item x="219"/>
        <item x="135"/>
        <item x="80"/>
        <item x="186"/>
        <item x="72"/>
        <item x="110"/>
        <item x="176"/>
        <item x="147"/>
        <item x="48"/>
        <item x="114"/>
        <item x="149"/>
        <item x="107"/>
        <item x="92"/>
        <item x="109"/>
        <item x="113"/>
        <item x="136"/>
        <item x="64"/>
        <item x="202"/>
        <item x="193"/>
        <item x="51"/>
        <item x="22"/>
        <item x="90"/>
        <item x="145"/>
        <item x="131"/>
        <item x="101"/>
        <item x="151"/>
        <item x="171"/>
        <item x="87"/>
        <item x="117"/>
        <item x="102"/>
        <item x="54"/>
        <item x="208"/>
        <item x="67"/>
        <item x="36"/>
        <item x="122"/>
        <item x="139"/>
        <item x="12"/>
        <item x="10"/>
        <item x="168"/>
        <item x="104"/>
        <item x="38"/>
        <item x="44"/>
        <item x="82"/>
        <item x="25"/>
        <item x="52"/>
        <item x="185"/>
        <item x="4"/>
        <item x="218"/>
        <item x="132"/>
        <item x="23"/>
        <item x="159"/>
        <item x="39"/>
        <item x="197"/>
        <item x="204"/>
        <item x="0"/>
        <item x="63"/>
        <item x="84"/>
        <item x="73"/>
        <item x="15"/>
        <item x="41"/>
        <item x="8"/>
        <item x="81"/>
        <item x="143"/>
        <item x="68"/>
        <item x="125"/>
        <item x="181"/>
        <item x="24"/>
        <item x="77"/>
        <item x="209"/>
        <item x="120"/>
        <item x="172"/>
        <item x="40"/>
        <item x="215"/>
        <item x="66"/>
        <item x="137"/>
        <item x="128"/>
        <item x="57"/>
        <item x="166"/>
        <item x="97"/>
        <item x="76"/>
        <item x="213"/>
        <item x="191"/>
        <item x="26"/>
        <item x="11"/>
        <item x="174"/>
        <item x="116"/>
        <item x="70"/>
        <item x="121"/>
        <item x="206"/>
        <item x="182"/>
        <item x="130"/>
        <item x="127"/>
        <item x="154"/>
        <item x="18"/>
        <item x="78"/>
        <item x="29"/>
        <item x="5"/>
        <item x="210"/>
        <item x="203"/>
        <item x="164"/>
        <item x="195"/>
        <item x="1"/>
        <item x="93"/>
        <item x="161"/>
        <item x="200"/>
        <item x="99"/>
        <item x="153"/>
        <item x="123"/>
        <item x="189"/>
        <item x="27"/>
        <item x="94"/>
        <item x="7"/>
        <item x="211"/>
        <item x="103"/>
        <item x="108"/>
        <item x="196"/>
        <item x="100"/>
        <item x="126"/>
        <item x="83"/>
        <item x="30"/>
        <item x="53"/>
        <item x="17"/>
        <item x="169"/>
        <item x="6"/>
        <item x="71"/>
        <item x="205"/>
        <item x="50"/>
        <item x="140"/>
        <item x="190"/>
        <item x="47"/>
        <item x="146"/>
        <item x="55"/>
        <item x="31"/>
        <item x="220"/>
        <item x="60"/>
        <item x="216"/>
        <item x="179"/>
        <item x="33"/>
        <item x="221"/>
        <item t="default"/>
      </items>
    </pivotField>
  </pivotFields>
  <rowFields count="1">
    <field x="0"/>
  </rowFields>
  <rowItems count="22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832A05-6508-4B4A-9B75-D6A5797214CE}"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5:B98" firstHeaderRow="1" firstDataRow="1" firstDataCol="1"/>
  <pivotFields count="16">
    <pivotField showAll="0"/>
    <pivotField showAll="0"/>
    <pivotField showAll="0">
      <items count="7">
        <item h="1" x="0"/>
        <item h="1" x="4"/>
        <item h="1" x="3"/>
        <item h="1" x="5"/>
        <item x="1"/>
        <item h="1" x="2"/>
        <item t="default"/>
      </items>
    </pivotField>
    <pivotField axis="axisRow" showAll="0">
      <items count="8">
        <item h="1" x="1"/>
        <item h="1" x="4"/>
        <item h="1" x="3"/>
        <item x="0"/>
        <item h="1" x="5"/>
        <item x="2"/>
        <item h="1" x="6"/>
        <item t="default"/>
      </items>
    </pivotField>
    <pivotField showAll="0"/>
    <pivotField showAll="0"/>
    <pivotField dataField="1"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3">
    <i>
      <x v="3"/>
    </i>
    <i>
      <x v="5"/>
    </i>
    <i t="grand">
      <x/>
    </i>
  </rowItems>
  <colItems count="1">
    <i/>
  </colItems>
  <dataFields count="1">
    <dataField name="Max of Price" fld="6" subtotal="max" baseField="3" baseItem="0" numFmtId="168"/>
  </dataFields>
  <formats count="1">
    <format dxfId="6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2C4DA2-452E-4746-BD2F-30A697A5F0F3}"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6:B29" firstHeaderRow="1" firstDataRow="1" firstDataCol="1"/>
  <pivotFields count="16">
    <pivotField showAll="0"/>
    <pivotField showAll="0"/>
    <pivotField showAll="0">
      <items count="7">
        <item h="1" x="0"/>
        <item h="1" x="4"/>
        <item h="1" x="3"/>
        <item h="1" x="5"/>
        <item x="1"/>
        <item h="1" x="2"/>
        <item t="default"/>
      </items>
    </pivotField>
    <pivotField axis="axisRow" showAll="0">
      <items count="8">
        <item h="1" x="1"/>
        <item h="1" x="4"/>
        <item h="1" x="3"/>
        <item x="0"/>
        <item h="1" x="5"/>
        <item x="2"/>
        <item h="1" x="6"/>
        <item t="default"/>
      </items>
    </pivotField>
    <pivotField showAll="0"/>
    <pivotField showAll="0"/>
    <pivotField dataField="1"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3">
    <i>
      <x v="3"/>
    </i>
    <i>
      <x v="5"/>
    </i>
    <i t="grand">
      <x/>
    </i>
  </rowItems>
  <colItems count="1">
    <i/>
  </colItems>
  <dataFields count="1">
    <dataField name="Average of Price" fld="6" subtotal="average" baseField="0" baseItem="0" numFmtId="168"/>
  </dataFields>
  <formats count="1">
    <format dxfId="6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71819E-079D-404A-8714-6C1A4A476DC1}"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1:B84" firstHeaderRow="1" firstDataRow="1" firstDataCol="1"/>
  <pivotFields count="16">
    <pivotField showAll="0"/>
    <pivotField showAll="0"/>
    <pivotField showAll="0">
      <items count="7">
        <item h="1" x="0"/>
        <item h="1" x="4"/>
        <item h="1" x="3"/>
        <item h="1" x="5"/>
        <item x="1"/>
        <item h="1" x="2"/>
        <item t="default"/>
      </items>
    </pivotField>
    <pivotField axis="axisRow" showAll="0">
      <items count="8">
        <item h="1" x="1"/>
        <item h="1" x="4"/>
        <item h="1" x="3"/>
        <item x="0"/>
        <item h="1" x="5"/>
        <item x="2"/>
        <item h="1" x="6"/>
        <item t="default"/>
      </items>
    </pivotField>
    <pivotField dataField="1" showAll="0"/>
    <pivotField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3">
    <i>
      <x v="3"/>
    </i>
    <i>
      <x v="5"/>
    </i>
    <i t="grand">
      <x/>
    </i>
  </rowItems>
  <colItems count="1">
    <i/>
  </colItems>
  <dataFields count="1">
    <dataField name="Average of Size_Sqm" fld="4" subtotal="average" baseField="3" baseItem="0" numFmtId="167"/>
  </dataFields>
  <formats count="1">
    <format dxfId="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0CEBDC-B889-492D-97F8-DF92274CA333}"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B16" firstHeaderRow="1" firstDataRow="1" firstDataCol="1"/>
  <pivotFields count="16">
    <pivotField showAll="0"/>
    <pivotField showAll="0"/>
    <pivotField axis="axisRow" showAll="0">
      <items count="7">
        <item h="1" x="0"/>
        <item h="1" x="4"/>
        <item h="1" x="3"/>
        <item h="1" x="5"/>
        <item x="1"/>
        <item h="1" x="2"/>
        <item t="default"/>
      </items>
    </pivotField>
    <pivotField showAll="0">
      <items count="8">
        <item h="1" x="1"/>
        <item h="1" x="4"/>
        <item h="1" x="3"/>
        <item x="0"/>
        <item h="1" x="5"/>
        <item x="2"/>
        <item h="1" x="6"/>
        <item t="default"/>
      </items>
    </pivotField>
    <pivotField showAll="0"/>
    <pivotField showAll="0"/>
    <pivotField dataField="1" numFmtId="165" showAll="0"/>
    <pivotField showAll="0">
      <items count="4">
        <item x="1"/>
        <item x="0"/>
        <item x="2"/>
        <item t="default"/>
      </items>
    </pivotField>
    <pivotField showAll="0"/>
    <pivotField showAll="0"/>
    <pivotField showAll="0"/>
    <pivotField showAll="0"/>
    <pivotField showAll="0"/>
    <pivotField showAll="0"/>
    <pivotField showAll="0">
      <items count="4">
        <item x="1"/>
        <item x="0"/>
        <item x="2"/>
        <item t="default"/>
      </items>
    </pivotField>
    <pivotField showAll="0"/>
  </pivotFields>
  <rowFields count="1">
    <field x="2"/>
  </rowFields>
  <rowItems count="2">
    <i>
      <x v="4"/>
    </i>
    <i t="grand">
      <x/>
    </i>
  </rowItems>
  <colItems count="1">
    <i/>
  </colItems>
  <dataFields count="1">
    <dataField name="Sum of Price" fld="6"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2"/>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FB89F4-B8C8-43F4-BE02-BEC718DB37C3}"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6">
    <pivotField dataField="1" showAll="0"/>
    <pivotField showAll="0"/>
    <pivotField showAll="0">
      <items count="7">
        <item h="1" x="0"/>
        <item h="1" x="4"/>
        <item h="1" x="3"/>
        <item h="1" x="5"/>
        <item x="1"/>
        <item h="1" x="2"/>
        <item t="default"/>
      </items>
    </pivotField>
    <pivotField axis="axisRow" showAll="0">
      <items count="8">
        <item h="1" x="1"/>
        <item h="1" x="4"/>
        <item h="1" x="3"/>
        <item x="0"/>
        <item h="1" x="5"/>
        <item x="2"/>
        <item h="1" x="6"/>
        <item t="default"/>
      </items>
    </pivotField>
    <pivotField showAll="0"/>
    <pivotField showAll="0"/>
    <pivotField numFmtId="165" showAll="0"/>
    <pivotField showAll="0"/>
    <pivotField showAll="0"/>
    <pivotField showAll="0"/>
    <pivotField showAll="0"/>
    <pivotField showAll="0"/>
    <pivotField showAll="0"/>
    <pivotField showAll="0"/>
    <pivotField showAll="0">
      <items count="4">
        <item x="1"/>
        <item x="0"/>
        <item x="2"/>
        <item t="default"/>
      </items>
    </pivotField>
    <pivotField showAll="0"/>
  </pivotFields>
  <rowFields count="1">
    <field x="3"/>
  </rowFields>
  <rowItems count="3">
    <i>
      <x v="3"/>
    </i>
    <i>
      <x v="5"/>
    </i>
    <i t="grand">
      <x/>
    </i>
  </rowItems>
  <colItems count="1">
    <i/>
  </colItems>
  <dataFields count="1">
    <dataField name="Count of Property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6FB436FB-8F58-451F-AEFD-5820ACF8AB4C}" sourceName="Property_Type">
  <pivotTables>
    <pivotTable tabId="4" name="PivotTable9"/>
    <pivotTable tabId="4" name="PivotTable10"/>
    <pivotTable tabId="4" name="PivotTable11"/>
    <pivotTable tabId="4" name="PivotTable12"/>
    <pivotTable tabId="4" name="PivotTable13"/>
    <pivotTable tabId="4" name="PivotTable14"/>
    <pivotTable tabId="4" name="PivotTable15"/>
    <pivotTable tabId="4" name="PivotTable2"/>
  </pivotTables>
  <data>
    <tabular pivotCacheId="145124965">
      <items count="6">
        <i x="0"/>
        <i x="4"/>
        <i x="3"/>
        <i x="5"/>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261E282A-EC78-4721-A415-CB0C13CB86FD}" sourceName="Price_Category">
  <pivotTables>
    <pivotTable tabId="4" name="PivotTable9"/>
  </pivotTables>
  <data>
    <tabular pivotCacheId="14512496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Colomn1" xr10:uid="{9D2E7D2C-6B0F-4273-BD6E-8D4F9B9B10C3}" sourceName="Year _Colomn">
  <pivotTables>
    <pivotTable tabId="4" name="PivotTable2"/>
    <pivotTable tabId="4" name="PivotTable10"/>
    <pivotTable tabId="4" name="PivotTable11"/>
    <pivotTable tabId="4" name="PivotTable12"/>
    <pivotTable tabId="4" name="PivotTable13"/>
    <pivotTable tabId="4" name="PivotTable14"/>
    <pivotTable tabId="4" name="PivotTable15"/>
    <pivotTable tabId="4" name="PivotTable9"/>
  </pivotTables>
  <data>
    <tabular pivotCacheId="145124965">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C600227A-5376-4C3B-9862-67195AE43606}" sourceName="Location">
  <pivotTables>
    <pivotTable tabId="4" name="PivotTable12"/>
    <pivotTable tabId="4" name="PivotTable10"/>
    <pivotTable tabId="4" name="PivotTable11"/>
    <pivotTable tabId="4" name="PivotTable13"/>
    <pivotTable tabId="4" name="PivotTable14"/>
    <pivotTable tabId="4" name="PivotTable15"/>
    <pivotTable tabId="4" name="PivotTable2"/>
    <pivotTable tabId="4" name="PivotTable9"/>
  </pivotTables>
  <data>
    <tabular pivotCacheId="145124965">
      <items count="7">
        <i x="1"/>
        <i x="4"/>
        <i x="0" s="1"/>
        <i x="2" s="1"/>
        <i x="6"/>
        <i x="3" nd="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1" xr10:uid="{E2734526-5F44-4909-A0AA-001414EF7C95}" sourceName="Price_Category">
  <pivotTables>
    <pivotTable tabId="4" name="PivotTable12"/>
  </pivotTables>
  <data>
    <tabular pivotCacheId="1451249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1" xr10:uid="{AF6E4773-9071-4199-A56B-58AEA721AAD7}" cache="Slicer_Property_Type" caption="Property_Type" style="SlicerStyleDark6" rowHeight="241300"/>
  <slicer name="Year _Colomn" xr10:uid="{697AC5F9-7C8B-4BDF-B1C8-32627021E979}" cache="Slicer_Year__Colomn1" caption="Year _Colomn" style="SlicerStyleDark6" rowHeight="241300"/>
  <slicer name="Location 1" xr10:uid="{20F86A54-034A-459E-BD59-6705F8963192}" cache="Slicer_Location1" caption="Location" style="SlicerStyleDark6" rowHeight="241300"/>
  <slicer name="Price_Category 1" xr10:uid="{1D614292-B452-477C-8A56-334A40818A13}" cache="Slicer_Price_Category1" caption="Price_Category"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xr10:uid="{F5F2CD87-75A7-45FF-A213-B230FA9DE5B3}" cache="Slicer_Property_Type" caption="Property_Type" style="SlicerStyleDark6" rowHeight="241300"/>
  <slicer name="Price_Category" xr10:uid="{52CE5939-E080-4077-938E-161CCDC1BA05}" cache="Slicer_Price_Category" caption="Price_Category" style="SlicerStyleDark6" rowHeight="241300"/>
  <slicer name="Year _Colomn 1" xr10:uid="{F8C3EE01-4E24-4F1C-A330-39487845D8D0}" cache="Slicer_Year__Colomn1" caption="Year _Colomn" style="SlicerStyleDark6" rowHeight="241300"/>
  <slicer name="Location" xr10:uid="{863EADAB-5D9D-4215-A6F6-F3585D76EA7D}" cache="Slicer_Location1" caption="Location"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99D6A-863D-43F3-9B03-C4A33D4835F5}" name="PropertyData" displayName="PropertyData" ref="A1:G301" totalsRowShown="0">
  <autoFilter ref="A1:G301" xr:uid="{09039511-C746-4979-9990-EA79B9FBAD02}"/>
  <tableColumns count="7">
    <tableColumn id="1" xr3:uid="{1F9D6770-5374-42FD-AA75-6276C6A9B1A5}" name="Property_ID"/>
    <tableColumn id="2" xr3:uid="{89189A64-31E9-43FE-B301-20871E459204}" name="Listing_Date" dataDxfId="84"/>
    <tableColumn id="3" xr3:uid="{6A57FD53-EECE-42C7-BFA6-65A9995597E8}" name="Property_Type"/>
    <tableColumn id="4" xr3:uid="{D0A4C22C-CBC5-4F34-A314-AAB18C1DB839}" name="Location"/>
    <tableColumn id="5" xr3:uid="{B624E948-083E-4326-B4E8-B48891B79318}" name="Size_Sqm"/>
    <tableColumn id="6" xr3:uid="{3D8C06F0-B836-44AD-9E3A-5E7289473B40}" name="Bedrooms"/>
    <tableColumn id="7" xr3:uid="{D7035900-C373-438A-B9DA-FDDF2472F082}" name="Price" dataDxfId="8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3AF2B9-DD7C-4BD1-9E6B-0C7A9211D25C}" name="PropertyTable" displayName="PropertyTable" ref="A1:N293" totalsRowShown="0">
  <autoFilter ref="A1:N293" xr:uid="{7B012C5A-BB45-413B-BEF8-EB0372DEF615}"/>
  <tableColumns count="14">
    <tableColumn id="1" xr3:uid="{0EDB3A1C-BBB5-4D78-89F3-0B25872B683D}" name="Property_ID" dataDxfId="82"/>
    <tableColumn id="2" xr3:uid="{9B603F4E-D20A-4413-854C-99E1198ADD60}" name="Listing_Date" dataDxfId="81"/>
    <tableColumn id="3" xr3:uid="{CEF879C1-1923-4DB4-B081-E3CF6BBB6B0D}" name="Property_Type" dataDxfId="80"/>
    <tableColumn id="4" xr3:uid="{EAFC7871-D54A-44FD-A399-FF182F25C7BB}" name="Location" dataDxfId="79"/>
    <tableColumn id="5" xr3:uid="{B9DF4D8B-2CED-4616-B3D7-CF256F54B82D}" name="Size_Sqm" dataDxfId="78"/>
    <tableColumn id="6" xr3:uid="{6B24D69A-FAD9-4316-BBBF-9EB5E62C07D1}" name="Bedrooms" dataDxfId="77"/>
    <tableColumn id="7" xr3:uid="{42B547CE-964E-4E1D-9875-50871CA4FF91}" name="Price" dataDxfId="76"/>
    <tableColumn id="15" xr3:uid="{9E494BF9-6D9F-4D76-AF36-7E2C18E5A0BF}" name="Price_Category" dataDxfId="75">
      <calculatedColumnFormula>_xlfn.IFS(G2&gt;=200000,"High",G2&gt;=100000,"Medium",G2&lt;100000,"Low")</calculatedColumnFormula>
    </tableColumn>
    <tableColumn id="16" xr3:uid="{0A735ABA-2464-42BF-AAA1-4A2418036146}" name="Days Since Listing" dataDxfId="74">
      <calculatedColumnFormula>IF(OR(B2="Unknown",B2=""),"Unknown",TODAY()-B2)</calculatedColumnFormula>
    </tableColumn>
    <tableColumn id="14" xr3:uid="{7FA4C5CC-F656-4B7D-A4BC-FA7AF5C20696}" name="ID_Extracted" dataDxfId="73">
      <calculatedColumnFormula>RIGHT(A2,4)</calculatedColumnFormula>
    </tableColumn>
    <tableColumn id="10" xr3:uid="{99E04DD6-2C2C-4694-9690-77A1E9562A01}" name="Location Length" dataDxfId="72">
      <calculatedColumnFormula>LEN(D2)</calculatedColumnFormula>
    </tableColumn>
    <tableColumn id="11" xr3:uid="{C8CFE626-D08E-45E9-A572-C51F4C38BDCC}" name="Standardized" dataDxfId="71">
      <calculatedColumnFormula>PROPER(C2)</calculatedColumnFormula>
    </tableColumn>
    <tableColumn id="12" xr3:uid="{020DCB88-69BF-4088-AE04-BCC0BE1D951C}" name="Standardized2" dataDxfId="70">
      <calculatedColumnFormula>PROPER(D2)</calculatedColumnFormula>
    </tableColumn>
    <tableColumn id="13" xr3:uid="{CEC7F4B9-4D13-4CAB-8B0A-80CB4FBEA3C3}" name="Year _Colomn" dataDxfId="69">
      <calculatedColumnFormula>IF(B2="Unknown","Unknown",YEAR(B2))</calculatedColumnFormula>
    </tableColumn>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990496-02E7-48CF-A0F9-F820580AA4BC}" name="Table3" displayName="Table3" ref="B4:C8" totalsRowShown="0">
  <autoFilter ref="B4:C8" xr:uid="{A1A821C0-309F-425F-BDB4-24DFCD931064}"/>
  <tableColumns count="2">
    <tableColumn id="1" xr3:uid="{B95CFE64-1B26-459F-8C53-B133DB66F757}" name="Quality Check" dataDxfId="68"/>
    <tableColumn id="3" xr3:uid="{32EA2774-ACE3-40CE-9D68-6341A3E0462D}" name="Result"/>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F8C954-0EE9-46B3-B8A3-BFFF18BB06F9}" name="Table4" displayName="Table4" ref="E4:F8" totalsRowShown="0">
  <autoFilter ref="E4:F8" xr:uid="{AF430EA4-FDC4-4F12-8D14-5FE87F2D28BE}"/>
  <tableColumns count="2">
    <tableColumn id="1" xr3:uid="{A5D81A6A-CF47-45EF-814B-21B2B8BB196E}" name="Quality Check" dataDxfId="67"/>
    <tableColumn id="2" xr3:uid="{6825EFCC-3CEB-436E-A7C7-22C304C9C893}" name="Result"/>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F5F121-00D3-4DE5-A7DC-C89B092C7598}" name="Table7" displayName="Table7" ref="H4:I8" totalsRowShown="0">
  <autoFilter ref="H4:I8" xr:uid="{BDC19588-2452-4CCA-B2CE-5C2740ED27B4}"/>
  <tableColumns count="2">
    <tableColumn id="1" xr3:uid="{14539E14-C87A-46DA-B3B1-CDB7D21BB7E4}" name="Item" dataDxfId="66"/>
    <tableColumn id="3" xr3:uid="{ADCB68F1-5FD4-464A-B3EA-F34E474CF85D}" name="Status"/>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F48980-96A5-47FD-AE91-C07A52890C51}" name="Table8" displayName="Table8" ref="B12:C25" totalsRowShown="0">
  <autoFilter ref="B12:C25" xr:uid="{68E3D273-769F-4B47-A61F-A6C0C903E3FE}"/>
  <tableColumns count="2">
    <tableColumn id="1" xr3:uid="{2E6950C1-2FD4-4D72-8DB7-9598236930C0}" name="Metric" dataDxfId="65"/>
    <tableColumn id="2" xr3:uid="{CEBDD972-2EE1-4102-96E4-39A81CE5C8B2}" name="Value" dataDxfId="64"/>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71ED83-A490-49CA-A74E-708D069B37C1}" name="Table10" displayName="Table10" ref="F12:G20" totalsRowShown="0">
  <autoFilter ref="F12:G20" xr:uid="{ADDF42BD-61CE-4E61-92D5-DB45C3B359AE}"/>
  <tableColumns count="2">
    <tableColumn id="1" xr3:uid="{844914C1-6236-4CF5-B350-206BF13664C7}" name="Metric" dataDxfId="57"/>
    <tableColumn id="2" xr3:uid="{15D684B2-0B6E-4522-A597-56C10C97AEB8}" name="Value"/>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FAED-2150-4885-8B14-9484D1707C88}">
  <dimension ref="A1:G301"/>
  <sheetViews>
    <sheetView workbookViewId="0">
      <selection activeCell="B185" sqref="B185"/>
    </sheetView>
  </sheetViews>
  <sheetFormatPr defaultRowHeight="14.5"/>
  <cols>
    <col min="1" max="1" width="17.453125" bestFit="1" customWidth="1"/>
    <col min="2" max="2" width="18.54296875" bestFit="1" customWidth="1"/>
    <col min="3" max="3" width="19.6328125" bestFit="1" customWidth="1"/>
    <col min="4" max="6" width="14.08984375" bestFit="1" customWidth="1"/>
    <col min="7" max="7" width="12.26953125" bestFit="1" customWidth="1"/>
  </cols>
  <sheetData>
    <row r="1" spans="1:7">
      <c r="A1" s="4" t="s">
        <v>301</v>
      </c>
      <c r="B1" s="4" t="s">
        <v>302</v>
      </c>
      <c r="C1" s="4" t="s">
        <v>303</v>
      </c>
      <c r="D1" s="4" t="s">
        <v>304</v>
      </c>
      <c r="E1" s="4" t="s">
        <v>305</v>
      </c>
      <c r="F1" s="4" t="s">
        <v>306</v>
      </c>
      <c r="G1" s="4" t="s">
        <v>307</v>
      </c>
    </row>
    <row r="2" spans="1:7">
      <c r="A2" t="s">
        <v>0</v>
      </c>
      <c r="B2" s="2">
        <v>46033</v>
      </c>
      <c r="C2" t="s">
        <v>1</v>
      </c>
      <c r="D2" t="s">
        <v>2</v>
      </c>
      <c r="E2">
        <v>59</v>
      </c>
      <c r="F2">
        <v>5</v>
      </c>
      <c r="G2" s="3">
        <v>33315.800000000003</v>
      </c>
    </row>
    <row r="3" spans="1:7">
      <c r="A3" t="s">
        <v>3</v>
      </c>
      <c r="B3" s="2">
        <v>46142</v>
      </c>
      <c r="D3" t="s">
        <v>4</v>
      </c>
      <c r="E3">
        <v>185</v>
      </c>
      <c r="F3">
        <v>1</v>
      </c>
      <c r="G3" s="3">
        <v>66750.47</v>
      </c>
    </row>
    <row r="4" spans="1:7">
      <c r="B4" s="2">
        <v>45699</v>
      </c>
      <c r="C4" t="s">
        <v>5</v>
      </c>
      <c r="D4" t="s">
        <v>6</v>
      </c>
      <c r="E4">
        <v>400</v>
      </c>
      <c r="F4">
        <v>5</v>
      </c>
      <c r="G4" s="3">
        <v>372852.18</v>
      </c>
    </row>
    <row r="5" spans="1:7">
      <c r="A5" t="s">
        <v>7</v>
      </c>
      <c r="B5" s="2"/>
      <c r="C5" t="s">
        <v>8</v>
      </c>
      <c r="D5" t="s">
        <v>6</v>
      </c>
      <c r="E5">
        <v>284</v>
      </c>
      <c r="F5">
        <v>3</v>
      </c>
      <c r="G5" s="3">
        <v>187104.95</v>
      </c>
    </row>
    <row r="6" spans="1:7">
      <c r="A6" t="s">
        <v>9</v>
      </c>
      <c r="B6" s="2">
        <v>46009</v>
      </c>
      <c r="C6" t="s">
        <v>10</v>
      </c>
      <c r="D6" t="s">
        <v>2</v>
      </c>
      <c r="F6">
        <v>0</v>
      </c>
      <c r="G6" s="3">
        <v>283316.37</v>
      </c>
    </row>
    <row r="7" spans="1:7">
      <c r="A7" t="s">
        <v>11</v>
      </c>
      <c r="B7" s="2">
        <v>46132</v>
      </c>
      <c r="C7" t="s">
        <v>1</v>
      </c>
      <c r="D7" t="s">
        <v>6</v>
      </c>
      <c r="F7">
        <v>6</v>
      </c>
      <c r="G7" s="3">
        <v>58741.9</v>
      </c>
    </row>
    <row r="8" spans="1:7">
      <c r="A8" t="s">
        <v>12</v>
      </c>
      <c r="B8" s="2">
        <v>46197</v>
      </c>
      <c r="C8" t="s">
        <v>1</v>
      </c>
      <c r="D8" t="s">
        <v>4</v>
      </c>
      <c r="E8">
        <v>146</v>
      </c>
      <c r="G8" s="3">
        <v>64417.58</v>
      </c>
    </row>
    <row r="9" spans="1:7">
      <c r="A9" t="s">
        <v>13</v>
      </c>
      <c r="B9" s="2">
        <v>46168</v>
      </c>
      <c r="C9" t="s">
        <v>1</v>
      </c>
      <c r="D9" t="s">
        <v>6</v>
      </c>
      <c r="E9">
        <v>50</v>
      </c>
      <c r="G9" s="3">
        <v>44214.57</v>
      </c>
    </row>
    <row r="10" spans="1:7">
      <c r="A10" t="s">
        <v>14</v>
      </c>
      <c r="B10" s="2">
        <v>46043</v>
      </c>
      <c r="C10" t="s">
        <v>1</v>
      </c>
      <c r="D10" t="s">
        <v>4</v>
      </c>
      <c r="E10">
        <v>56</v>
      </c>
      <c r="F10">
        <v>2</v>
      </c>
      <c r="G10" s="3">
        <v>18933.72</v>
      </c>
    </row>
    <row r="11" spans="1:7">
      <c r="A11" t="s">
        <v>15</v>
      </c>
      <c r="B11" s="2">
        <v>45855</v>
      </c>
      <c r="C11" t="s">
        <v>10</v>
      </c>
      <c r="D11" t="s">
        <v>4</v>
      </c>
      <c r="E11">
        <v>374</v>
      </c>
      <c r="F11">
        <v>0</v>
      </c>
      <c r="G11" s="3">
        <v>167091.21</v>
      </c>
    </row>
    <row r="12" spans="1:7">
      <c r="A12" t="s">
        <v>16</v>
      </c>
      <c r="B12" s="2">
        <v>45982</v>
      </c>
      <c r="D12" t="s">
        <v>6</v>
      </c>
      <c r="E12">
        <v>186</v>
      </c>
      <c r="F12">
        <v>4</v>
      </c>
      <c r="G12" s="3">
        <v>154685.01</v>
      </c>
    </row>
    <row r="13" spans="1:7">
      <c r="A13" t="s">
        <v>17</v>
      </c>
      <c r="B13" s="2">
        <v>46108</v>
      </c>
      <c r="D13" t="s">
        <v>2</v>
      </c>
      <c r="E13">
        <v>1005</v>
      </c>
      <c r="F13" t="s">
        <v>18</v>
      </c>
      <c r="G13" s="3">
        <v>380318.1</v>
      </c>
    </row>
    <row r="14" spans="1:7">
      <c r="A14" t="s">
        <v>19</v>
      </c>
      <c r="B14" s="2">
        <v>45979</v>
      </c>
      <c r="C14" t="s">
        <v>1</v>
      </c>
      <c r="D14" t="s">
        <v>6</v>
      </c>
      <c r="E14">
        <v>135</v>
      </c>
      <c r="F14">
        <v>1</v>
      </c>
      <c r="G14" s="3">
        <v>85595.89</v>
      </c>
    </row>
    <row r="15" spans="1:7">
      <c r="A15" t="s">
        <v>20</v>
      </c>
      <c r="B15" s="2">
        <v>45862</v>
      </c>
      <c r="C15" t="s">
        <v>1</v>
      </c>
      <c r="D15" t="s">
        <v>2</v>
      </c>
      <c r="E15">
        <v>69</v>
      </c>
      <c r="F15">
        <v>6</v>
      </c>
      <c r="G15" s="3">
        <v>53710.9</v>
      </c>
    </row>
    <row r="16" spans="1:7">
      <c r="B16" s="2">
        <v>45820</v>
      </c>
      <c r="C16" t="s">
        <v>1</v>
      </c>
      <c r="D16" t="s">
        <v>6</v>
      </c>
      <c r="E16">
        <v>153</v>
      </c>
      <c r="F16">
        <v>5</v>
      </c>
      <c r="G16" s="3">
        <v>94612.52</v>
      </c>
    </row>
    <row r="17" spans="1:7">
      <c r="A17" t="s">
        <v>21</v>
      </c>
      <c r="B17" s="2">
        <v>46038</v>
      </c>
      <c r="C17" t="s">
        <v>1</v>
      </c>
      <c r="D17" t="s">
        <v>6</v>
      </c>
      <c r="E17">
        <v>84</v>
      </c>
      <c r="F17">
        <v>4</v>
      </c>
      <c r="G17" s="3">
        <v>69993.850000000006</v>
      </c>
    </row>
    <row r="18" spans="1:7">
      <c r="A18" t="s">
        <v>22</v>
      </c>
      <c r="B18" s="2">
        <v>45662</v>
      </c>
      <c r="C18" t="s">
        <v>23</v>
      </c>
      <c r="D18" t="s">
        <v>4</v>
      </c>
      <c r="E18">
        <v>540</v>
      </c>
      <c r="F18">
        <v>0</v>
      </c>
      <c r="G18" s="3">
        <v>175133.17</v>
      </c>
    </row>
    <row r="19" spans="1:7">
      <c r="A19" t="s">
        <v>24</v>
      </c>
      <c r="B19" s="2">
        <v>46195</v>
      </c>
      <c r="C19" t="s">
        <v>8</v>
      </c>
      <c r="D19" t="s">
        <v>6</v>
      </c>
      <c r="E19">
        <v>124</v>
      </c>
      <c r="F19">
        <v>6</v>
      </c>
      <c r="G19" s="3">
        <v>87390.52</v>
      </c>
    </row>
    <row r="20" spans="1:7">
      <c r="A20" t="s">
        <v>25</v>
      </c>
      <c r="B20" s="2"/>
      <c r="C20" t="s">
        <v>1</v>
      </c>
      <c r="D20" t="s">
        <v>6</v>
      </c>
      <c r="E20">
        <v>106</v>
      </c>
      <c r="F20">
        <v>4</v>
      </c>
      <c r="G20" s="3">
        <v>97362.81</v>
      </c>
    </row>
    <row r="21" spans="1:7">
      <c r="A21" t="s">
        <v>26</v>
      </c>
      <c r="B21" s="2">
        <v>46127</v>
      </c>
      <c r="C21" t="s">
        <v>1</v>
      </c>
      <c r="D21" t="s">
        <v>6</v>
      </c>
      <c r="E21">
        <v>78</v>
      </c>
      <c r="F21">
        <v>4</v>
      </c>
      <c r="G21" s="3">
        <v>59333.36</v>
      </c>
    </row>
    <row r="22" spans="1:7">
      <c r="A22" t="s">
        <v>27</v>
      </c>
      <c r="B22" s="2">
        <v>45707</v>
      </c>
      <c r="C22" t="s">
        <v>1</v>
      </c>
      <c r="D22" t="s">
        <v>2</v>
      </c>
      <c r="E22">
        <v>86</v>
      </c>
      <c r="F22">
        <v>6</v>
      </c>
      <c r="G22" s="3">
        <v>61674.83</v>
      </c>
    </row>
    <row r="23" spans="1:7">
      <c r="A23" t="s">
        <v>28</v>
      </c>
      <c r="B23" s="2">
        <v>45851</v>
      </c>
      <c r="C23" t="s">
        <v>23</v>
      </c>
      <c r="D23" t="s">
        <v>6</v>
      </c>
      <c r="E23">
        <v>813</v>
      </c>
      <c r="F23">
        <v>0</v>
      </c>
      <c r="G23" s="3">
        <v>505246.4</v>
      </c>
    </row>
    <row r="24" spans="1:7">
      <c r="A24" t="s">
        <v>29</v>
      </c>
      <c r="B24" s="2"/>
      <c r="C24" t="s">
        <v>10</v>
      </c>
      <c r="D24" t="s">
        <v>6</v>
      </c>
      <c r="E24">
        <v>82</v>
      </c>
      <c r="F24">
        <v>0</v>
      </c>
      <c r="G24" s="3" t="s">
        <v>30</v>
      </c>
    </row>
    <row r="25" spans="1:7">
      <c r="A25" t="s">
        <v>31</v>
      </c>
      <c r="B25" s="2">
        <v>45756</v>
      </c>
      <c r="C25" t="s">
        <v>8</v>
      </c>
      <c r="D25" t="s">
        <v>2</v>
      </c>
      <c r="F25">
        <v>3</v>
      </c>
      <c r="G25" s="3">
        <v>109022.54</v>
      </c>
    </row>
    <row r="26" spans="1:7">
      <c r="A26" t="s">
        <v>32</v>
      </c>
      <c r="B26" s="2">
        <v>45929</v>
      </c>
      <c r="C26" t="s">
        <v>8</v>
      </c>
      <c r="D26" t="s">
        <v>6</v>
      </c>
      <c r="E26">
        <v>126</v>
      </c>
      <c r="F26">
        <v>2</v>
      </c>
      <c r="G26" s="3">
        <v>80684.990000000005</v>
      </c>
    </row>
    <row r="27" spans="1:7">
      <c r="A27" t="s">
        <v>33</v>
      </c>
      <c r="B27" s="2">
        <v>46017</v>
      </c>
      <c r="C27" t="s">
        <v>23</v>
      </c>
      <c r="D27" t="s">
        <v>34</v>
      </c>
      <c r="E27">
        <v>1131</v>
      </c>
      <c r="F27">
        <v>0</v>
      </c>
      <c r="G27" s="3">
        <v>436421.06</v>
      </c>
    </row>
    <row r="28" spans="1:7">
      <c r="A28" t="s">
        <v>35</v>
      </c>
      <c r="B28" s="2">
        <v>46055</v>
      </c>
      <c r="C28" t="s">
        <v>5</v>
      </c>
      <c r="D28" t="s">
        <v>36</v>
      </c>
      <c r="E28">
        <v>241</v>
      </c>
      <c r="F28">
        <v>5</v>
      </c>
      <c r="G28" s="3">
        <v>205954.15</v>
      </c>
    </row>
    <row r="29" spans="1:7">
      <c r="A29" t="s">
        <v>37</v>
      </c>
      <c r="B29" s="2">
        <v>45999</v>
      </c>
      <c r="C29" t="s">
        <v>1</v>
      </c>
      <c r="D29" t="s">
        <v>38</v>
      </c>
      <c r="E29">
        <v>165</v>
      </c>
      <c r="F29">
        <v>3</v>
      </c>
      <c r="G29" s="3">
        <v>71013.350000000006</v>
      </c>
    </row>
    <row r="30" spans="1:7">
      <c r="B30" s="2">
        <v>46107</v>
      </c>
      <c r="C30" t="s">
        <v>5</v>
      </c>
      <c r="D30" t="s">
        <v>39</v>
      </c>
      <c r="E30">
        <v>246</v>
      </c>
      <c r="F30">
        <v>4</v>
      </c>
      <c r="G30" s="3">
        <v>189700.22</v>
      </c>
    </row>
    <row r="31" spans="1:7">
      <c r="A31" t="s">
        <v>40</v>
      </c>
      <c r="B31" s="2">
        <v>46157</v>
      </c>
      <c r="C31" t="s">
        <v>8</v>
      </c>
      <c r="D31" t="s">
        <v>38</v>
      </c>
      <c r="E31">
        <v>269</v>
      </c>
      <c r="F31">
        <v>5</v>
      </c>
      <c r="G31" s="3">
        <v>117783.73</v>
      </c>
    </row>
    <row r="32" spans="1:7">
      <c r="A32" t="s">
        <v>41</v>
      </c>
      <c r="B32" s="2">
        <v>45822</v>
      </c>
      <c r="C32" t="s">
        <v>5</v>
      </c>
      <c r="D32" t="s">
        <v>6</v>
      </c>
      <c r="E32">
        <v>428</v>
      </c>
      <c r="F32">
        <v>4</v>
      </c>
      <c r="G32" s="3">
        <v>423951.96</v>
      </c>
    </row>
    <row r="33" spans="1:7">
      <c r="A33" t="s">
        <v>42</v>
      </c>
      <c r="B33" s="2">
        <v>46130</v>
      </c>
      <c r="C33" t="s">
        <v>8</v>
      </c>
      <c r="D33" t="s">
        <v>36</v>
      </c>
      <c r="E33">
        <v>118</v>
      </c>
      <c r="F33">
        <v>2</v>
      </c>
      <c r="G33" s="3">
        <v>64706.06</v>
      </c>
    </row>
    <row r="34" spans="1:7">
      <c r="A34" t="s">
        <v>43</v>
      </c>
      <c r="B34" s="2">
        <v>46187</v>
      </c>
      <c r="D34" t="s">
        <v>36</v>
      </c>
      <c r="E34">
        <v>375</v>
      </c>
      <c r="F34">
        <v>0</v>
      </c>
      <c r="G34" s="3">
        <v>360319.2</v>
      </c>
    </row>
    <row r="35" spans="1:7">
      <c r="A35" t="s">
        <v>44</v>
      </c>
      <c r="B35" s="2">
        <v>46216</v>
      </c>
      <c r="C35" t="s">
        <v>23</v>
      </c>
      <c r="D35" t="s">
        <v>4</v>
      </c>
      <c r="F35">
        <v>0</v>
      </c>
      <c r="G35" s="3">
        <v>258143.66</v>
      </c>
    </row>
    <row r="36" spans="1:7">
      <c r="A36" t="s">
        <v>45</v>
      </c>
      <c r="B36" s="2">
        <v>45865</v>
      </c>
      <c r="C36" t="s">
        <v>8</v>
      </c>
      <c r="D36" t="s">
        <v>2</v>
      </c>
      <c r="E36">
        <v>91</v>
      </c>
      <c r="F36">
        <v>2</v>
      </c>
      <c r="G36" s="3">
        <v>67703.179999999993</v>
      </c>
    </row>
    <row r="37" spans="1:7">
      <c r="A37" t="s">
        <v>46</v>
      </c>
      <c r="B37" s="2">
        <v>46225</v>
      </c>
      <c r="C37" t="s">
        <v>5</v>
      </c>
      <c r="D37" t="s">
        <v>2</v>
      </c>
      <c r="E37">
        <v>432</v>
      </c>
      <c r="F37">
        <v>1</v>
      </c>
      <c r="G37" s="3"/>
    </row>
    <row r="38" spans="1:7">
      <c r="A38" t="s">
        <v>47</v>
      </c>
      <c r="B38" s="2">
        <v>45844</v>
      </c>
      <c r="C38" t="s">
        <v>8</v>
      </c>
      <c r="E38">
        <v>233</v>
      </c>
      <c r="F38">
        <v>4</v>
      </c>
      <c r="G38" s="3">
        <v>204504.39</v>
      </c>
    </row>
    <row r="39" spans="1:7">
      <c r="A39" t="s">
        <v>48</v>
      </c>
      <c r="B39" s="2">
        <v>45711</v>
      </c>
      <c r="C39" t="s">
        <v>10</v>
      </c>
      <c r="D39" t="s">
        <v>4</v>
      </c>
      <c r="F39">
        <v>0</v>
      </c>
      <c r="G39" s="3">
        <v>299493.28000000003</v>
      </c>
    </row>
    <row r="40" spans="1:7">
      <c r="A40" t="s">
        <v>49</v>
      </c>
      <c r="B40" s="2">
        <v>45974</v>
      </c>
      <c r="C40" t="s">
        <v>10</v>
      </c>
      <c r="D40" t="s">
        <v>4</v>
      </c>
      <c r="E40">
        <v>428</v>
      </c>
      <c r="F40">
        <v>0</v>
      </c>
      <c r="G40" s="3">
        <v>244310.76</v>
      </c>
    </row>
    <row r="41" spans="1:7">
      <c r="A41" t="s">
        <v>50</v>
      </c>
      <c r="B41" s="2">
        <v>45751</v>
      </c>
      <c r="C41" t="s">
        <v>51</v>
      </c>
      <c r="D41" t="s">
        <v>2</v>
      </c>
      <c r="E41">
        <v>160</v>
      </c>
      <c r="F41">
        <v>1</v>
      </c>
      <c r="G41" s="3">
        <v>90180.06</v>
      </c>
    </row>
    <row r="42" spans="1:7">
      <c r="A42" t="s">
        <v>52</v>
      </c>
      <c r="B42" s="2">
        <v>46197</v>
      </c>
      <c r="C42" t="s">
        <v>1</v>
      </c>
      <c r="D42" t="s">
        <v>6</v>
      </c>
      <c r="E42">
        <v>107</v>
      </c>
      <c r="F42">
        <v>5</v>
      </c>
      <c r="G42" s="3">
        <v>99170.67</v>
      </c>
    </row>
    <row r="43" spans="1:7">
      <c r="A43" t="s">
        <v>53</v>
      </c>
      <c r="B43" s="2">
        <v>45987</v>
      </c>
      <c r="C43" t="s">
        <v>1</v>
      </c>
      <c r="D43" t="s">
        <v>2</v>
      </c>
      <c r="E43">
        <v>127</v>
      </c>
      <c r="F43">
        <v>3</v>
      </c>
      <c r="G43" s="3">
        <v>86128.1</v>
      </c>
    </row>
    <row r="44" spans="1:7">
      <c r="A44" t="s">
        <v>54</v>
      </c>
      <c r="B44" s="2">
        <v>46023</v>
      </c>
      <c r="C44" t="s">
        <v>8</v>
      </c>
      <c r="D44" t="s">
        <v>2</v>
      </c>
      <c r="E44">
        <v>180</v>
      </c>
      <c r="F44">
        <v>4</v>
      </c>
      <c r="G44" s="3">
        <v>134013.76999999999</v>
      </c>
    </row>
    <row r="45" spans="1:7">
      <c r="A45" t="s">
        <v>55</v>
      </c>
      <c r="B45" s="2">
        <v>46066</v>
      </c>
      <c r="C45" t="s">
        <v>5</v>
      </c>
      <c r="D45" t="s">
        <v>2</v>
      </c>
      <c r="F45">
        <v>5</v>
      </c>
      <c r="G45" s="3">
        <v>358718.1</v>
      </c>
    </row>
    <row r="46" spans="1:7">
      <c r="A46" t="s">
        <v>56</v>
      </c>
      <c r="B46" s="2">
        <v>46039</v>
      </c>
      <c r="C46" t="s">
        <v>1</v>
      </c>
      <c r="D46" t="s">
        <v>6</v>
      </c>
      <c r="E46">
        <v>80</v>
      </c>
      <c r="F46">
        <v>5</v>
      </c>
      <c r="G46" s="3">
        <v>49798.06</v>
      </c>
    </row>
    <row r="47" spans="1:7">
      <c r="A47" t="s">
        <v>57</v>
      </c>
      <c r="B47" s="2">
        <v>45683</v>
      </c>
      <c r="C47" t="s">
        <v>1</v>
      </c>
      <c r="D47" t="s">
        <v>39</v>
      </c>
      <c r="F47">
        <v>3</v>
      </c>
      <c r="G47" s="3">
        <v>62007.71</v>
      </c>
    </row>
    <row r="48" spans="1:7">
      <c r="A48" t="s">
        <v>58</v>
      </c>
      <c r="B48" s="2">
        <v>45738</v>
      </c>
      <c r="C48" t="s">
        <v>23</v>
      </c>
      <c r="D48" t="s">
        <v>2</v>
      </c>
      <c r="E48">
        <v>382</v>
      </c>
      <c r="F48">
        <v>0</v>
      </c>
      <c r="G48" s="3"/>
    </row>
    <row r="49" spans="1:7">
      <c r="A49" t="s">
        <v>59</v>
      </c>
      <c r="B49" s="2">
        <v>45990</v>
      </c>
      <c r="C49" t="s">
        <v>8</v>
      </c>
      <c r="D49" t="s">
        <v>6</v>
      </c>
      <c r="E49">
        <v>135</v>
      </c>
      <c r="F49">
        <v>6</v>
      </c>
      <c r="G49" s="3">
        <v>120945.17</v>
      </c>
    </row>
    <row r="50" spans="1:7">
      <c r="A50" t="s">
        <v>60</v>
      </c>
      <c r="B50" s="2">
        <v>45673</v>
      </c>
      <c r="C50" t="s">
        <v>8</v>
      </c>
      <c r="D50" t="s">
        <v>36</v>
      </c>
      <c r="E50">
        <v>125</v>
      </c>
      <c r="F50">
        <v>3</v>
      </c>
      <c r="G50" s="3">
        <v>84348.09</v>
      </c>
    </row>
    <row r="51" spans="1:7">
      <c r="A51" t="s">
        <v>61</v>
      </c>
      <c r="B51" s="2">
        <v>46127</v>
      </c>
      <c r="C51" t="s">
        <v>5</v>
      </c>
      <c r="D51" t="s">
        <v>2</v>
      </c>
      <c r="E51">
        <v>450</v>
      </c>
      <c r="F51">
        <v>6</v>
      </c>
      <c r="G51" s="3">
        <v>283192.93</v>
      </c>
    </row>
    <row r="52" spans="1:7">
      <c r="A52" t="s">
        <v>62</v>
      </c>
      <c r="B52" s="2">
        <v>45727</v>
      </c>
      <c r="C52" t="s">
        <v>23</v>
      </c>
      <c r="D52" t="s">
        <v>36</v>
      </c>
      <c r="E52">
        <v>623</v>
      </c>
      <c r="F52">
        <v>0</v>
      </c>
      <c r="G52" s="3">
        <v>258642.14</v>
      </c>
    </row>
    <row r="53" spans="1:7">
      <c r="B53" s="2">
        <v>46207</v>
      </c>
      <c r="C53" t="s">
        <v>10</v>
      </c>
      <c r="D53" t="s">
        <v>4</v>
      </c>
      <c r="E53">
        <v>64</v>
      </c>
      <c r="F53">
        <v>0</v>
      </c>
      <c r="G53" s="3">
        <v>33565.629999999997</v>
      </c>
    </row>
    <row r="54" spans="1:7">
      <c r="A54" t="s">
        <v>63</v>
      </c>
      <c r="B54" s="2">
        <v>45891</v>
      </c>
      <c r="C54" t="s">
        <v>1</v>
      </c>
      <c r="E54">
        <v>147</v>
      </c>
      <c r="F54">
        <v>2</v>
      </c>
      <c r="G54" s="3"/>
    </row>
    <row r="55" spans="1:7">
      <c r="B55" s="2">
        <v>45856</v>
      </c>
      <c r="C55" t="s">
        <v>1</v>
      </c>
      <c r="D55" t="s">
        <v>6</v>
      </c>
      <c r="E55">
        <v>103</v>
      </c>
      <c r="F55">
        <v>5</v>
      </c>
      <c r="G55" s="3">
        <v>66440.800000000003</v>
      </c>
    </row>
    <row r="56" spans="1:7">
      <c r="A56" t="s">
        <v>64</v>
      </c>
      <c r="B56" s="2">
        <v>46201</v>
      </c>
      <c r="C56" t="s">
        <v>5</v>
      </c>
      <c r="D56" t="s">
        <v>6</v>
      </c>
      <c r="F56">
        <v>2</v>
      </c>
      <c r="G56" s="3">
        <v>335495.55</v>
      </c>
    </row>
    <row r="57" spans="1:7">
      <c r="A57" t="s">
        <v>65</v>
      </c>
      <c r="B57" s="2">
        <v>45913</v>
      </c>
      <c r="C57" t="s">
        <v>1</v>
      </c>
      <c r="D57" t="s">
        <v>4</v>
      </c>
      <c r="E57">
        <v>117</v>
      </c>
      <c r="F57">
        <v>6</v>
      </c>
      <c r="G57" s="3"/>
    </row>
    <row r="58" spans="1:7">
      <c r="A58" t="s">
        <v>66</v>
      </c>
      <c r="B58" s="2">
        <v>46002</v>
      </c>
      <c r="C58" t="s">
        <v>1</v>
      </c>
      <c r="E58">
        <v>50</v>
      </c>
      <c r="F58">
        <v>3</v>
      </c>
      <c r="G58" s="3">
        <v>44833.77</v>
      </c>
    </row>
    <row r="59" spans="1:7">
      <c r="A59" t="s">
        <v>67</v>
      </c>
      <c r="B59" s="2">
        <v>46194</v>
      </c>
      <c r="C59" t="s">
        <v>8</v>
      </c>
      <c r="D59" t="s">
        <v>2</v>
      </c>
      <c r="E59">
        <v>228</v>
      </c>
      <c r="F59">
        <v>1</v>
      </c>
      <c r="G59" s="3">
        <v>133143.54</v>
      </c>
    </row>
    <row r="60" spans="1:7">
      <c r="A60" t="s">
        <v>68</v>
      </c>
      <c r="B60" s="2">
        <v>45958</v>
      </c>
      <c r="C60" t="s">
        <v>5</v>
      </c>
      <c r="D60" t="s">
        <v>6</v>
      </c>
      <c r="E60">
        <v>317</v>
      </c>
      <c r="F60">
        <v>3</v>
      </c>
      <c r="G60" s="3">
        <v>384484.34</v>
      </c>
    </row>
    <row r="61" spans="1:7">
      <c r="A61" t="s">
        <v>69</v>
      </c>
      <c r="B61" s="2">
        <v>46215</v>
      </c>
      <c r="C61" t="s">
        <v>1</v>
      </c>
      <c r="D61" t="s">
        <v>38</v>
      </c>
      <c r="E61">
        <v>156</v>
      </c>
      <c r="F61">
        <v>6</v>
      </c>
      <c r="G61" s="3">
        <v>79557.259999999995</v>
      </c>
    </row>
    <row r="62" spans="1:7">
      <c r="A62" t="s">
        <v>70</v>
      </c>
      <c r="B62" s="2">
        <v>45705</v>
      </c>
      <c r="C62" t="s">
        <v>23</v>
      </c>
      <c r="E62">
        <v>647</v>
      </c>
      <c r="F62">
        <v>0</v>
      </c>
      <c r="G62" s="3">
        <v>220606.86</v>
      </c>
    </row>
    <row r="63" spans="1:7">
      <c r="A63" t="s">
        <v>71</v>
      </c>
      <c r="B63" s="2">
        <v>46079</v>
      </c>
      <c r="C63" t="s">
        <v>1</v>
      </c>
      <c r="D63" t="s">
        <v>36</v>
      </c>
      <c r="E63">
        <v>85</v>
      </c>
      <c r="F63">
        <v>1</v>
      </c>
      <c r="G63" s="3">
        <v>46503.12</v>
      </c>
    </row>
    <row r="64" spans="1:7">
      <c r="A64" t="s">
        <v>72</v>
      </c>
      <c r="B64" s="2">
        <v>45785</v>
      </c>
      <c r="C64" t="s">
        <v>5</v>
      </c>
      <c r="D64" t="s">
        <v>36</v>
      </c>
      <c r="E64">
        <v>254</v>
      </c>
      <c r="F64">
        <v>6</v>
      </c>
      <c r="G64" s="3">
        <v>145052.32</v>
      </c>
    </row>
    <row r="65" spans="1:7">
      <c r="A65" t="s">
        <v>73</v>
      </c>
      <c r="B65" s="2">
        <v>45721</v>
      </c>
      <c r="C65" t="s">
        <v>5</v>
      </c>
      <c r="D65" t="s">
        <v>36</v>
      </c>
      <c r="E65">
        <v>185</v>
      </c>
      <c r="F65">
        <v>2</v>
      </c>
      <c r="G65" s="3">
        <v>103458.47</v>
      </c>
    </row>
    <row r="66" spans="1:7">
      <c r="A66" t="s">
        <v>74</v>
      </c>
      <c r="B66" s="2">
        <v>46218</v>
      </c>
      <c r="C66" t="s">
        <v>23</v>
      </c>
      <c r="D66" t="s">
        <v>39</v>
      </c>
      <c r="E66">
        <v>699</v>
      </c>
      <c r="F66">
        <v>0</v>
      </c>
      <c r="G66" s="3">
        <v>258452.71</v>
      </c>
    </row>
    <row r="67" spans="1:7">
      <c r="A67" t="s">
        <v>75</v>
      </c>
      <c r="B67" s="2">
        <v>45841</v>
      </c>
      <c r="C67" t="s">
        <v>1</v>
      </c>
      <c r="D67" t="s">
        <v>39</v>
      </c>
      <c r="E67">
        <v>91</v>
      </c>
      <c r="F67">
        <v>4</v>
      </c>
      <c r="G67" s="3">
        <v>39330.03</v>
      </c>
    </row>
    <row r="68" spans="1:7">
      <c r="A68" t="s">
        <v>76</v>
      </c>
      <c r="B68" s="2">
        <v>45797</v>
      </c>
      <c r="C68" t="s">
        <v>10</v>
      </c>
      <c r="D68" t="s">
        <v>6</v>
      </c>
      <c r="E68">
        <v>196</v>
      </c>
      <c r="F68">
        <v>0</v>
      </c>
      <c r="G68" s="3">
        <v>180591.82</v>
      </c>
    </row>
    <row r="69" spans="1:7">
      <c r="A69" t="s">
        <v>77</v>
      </c>
      <c r="B69" s="2">
        <v>46034</v>
      </c>
      <c r="C69" t="s">
        <v>1</v>
      </c>
      <c r="D69" t="s">
        <v>6</v>
      </c>
      <c r="E69">
        <v>133</v>
      </c>
      <c r="F69">
        <v>5</v>
      </c>
      <c r="G69" s="3">
        <v>105680.17</v>
      </c>
    </row>
    <row r="70" spans="1:7">
      <c r="A70" t="s">
        <v>78</v>
      </c>
      <c r="B70" s="2">
        <v>45905</v>
      </c>
      <c r="C70" t="s">
        <v>5</v>
      </c>
      <c r="D70" t="s">
        <v>6</v>
      </c>
      <c r="E70">
        <v>211</v>
      </c>
      <c r="F70">
        <v>2</v>
      </c>
      <c r="G70" s="3">
        <v>209482.86</v>
      </c>
    </row>
    <row r="71" spans="1:7">
      <c r="A71" t="s">
        <v>79</v>
      </c>
      <c r="B71" s="2"/>
      <c r="C71" t="s">
        <v>23</v>
      </c>
      <c r="D71" t="s">
        <v>4</v>
      </c>
      <c r="E71">
        <v>1078</v>
      </c>
      <c r="F71">
        <v>0</v>
      </c>
      <c r="G71" s="3">
        <v>340698.41</v>
      </c>
    </row>
    <row r="72" spans="1:7">
      <c r="A72" t="s">
        <v>80</v>
      </c>
      <c r="B72" s="2">
        <v>45722</v>
      </c>
      <c r="C72" t="s">
        <v>1</v>
      </c>
      <c r="D72" t="s">
        <v>6</v>
      </c>
      <c r="E72">
        <v>172</v>
      </c>
      <c r="G72" s="3">
        <v>170994.69</v>
      </c>
    </row>
    <row r="73" spans="1:7">
      <c r="A73" t="s">
        <v>81</v>
      </c>
      <c r="B73" s="2">
        <v>46157</v>
      </c>
      <c r="C73" t="s">
        <v>23</v>
      </c>
      <c r="D73" t="s">
        <v>39</v>
      </c>
      <c r="E73">
        <v>883</v>
      </c>
      <c r="F73">
        <v>0</v>
      </c>
      <c r="G73" s="3">
        <v>375425.55</v>
      </c>
    </row>
    <row r="74" spans="1:7">
      <c r="A74" t="s">
        <v>82</v>
      </c>
      <c r="B74" s="2">
        <v>46070</v>
      </c>
      <c r="C74" t="s">
        <v>10</v>
      </c>
      <c r="D74" t="s">
        <v>6</v>
      </c>
      <c r="E74">
        <v>69</v>
      </c>
      <c r="F74">
        <v>0</v>
      </c>
      <c r="G74" s="3">
        <v>91262.04</v>
      </c>
    </row>
    <row r="75" spans="1:7">
      <c r="A75" t="s">
        <v>83</v>
      </c>
      <c r="B75" s="2"/>
      <c r="C75" t="s">
        <v>84</v>
      </c>
      <c r="D75" t="s">
        <v>6</v>
      </c>
      <c r="E75">
        <v>166</v>
      </c>
      <c r="F75">
        <v>2</v>
      </c>
      <c r="G75" s="3">
        <v>133326.93</v>
      </c>
    </row>
    <row r="76" spans="1:7">
      <c r="A76" t="s">
        <v>85</v>
      </c>
      <c r="B76" s="2">
        <v>45971</v>
      </c>
      <c r="C76" t="s">
        <v>23</v>
      </c>
      <c r="D76" t="s">
        <v>4</v>
      </c>
      <c r="E76">
        <v>595</v>
      </c>
      <c r="F76">
        <v>0</v>
      </c>
      <c r="G76" s="3">
        <v>149841.1</v>
      </c>
    </row>
    <row r="77" spans="1:7">
      <c r="A77" t="s">
        <v>86</v>
      </c>
      <c r="B77" s="2">
        <v>46050</v>
      </c>
      <c r="C77" t="s">
        <v>1</v>
      </c>
      <c r="D77" t="s">
        <v>6</v>
      </c>
      <c r="E77">
        <v>89</v>
      </c>
      <c r="F77">
        <v>6</v>
      </c>
      <c r="G77" s="3">
        <v>64626.19</v>
      </c>
    </row>
    <row r="78" spans="1:7">
      <c r="A78" t="s">
        <v>87</v>
      </c>
      <c r="B78" s="2">
        <v>45701</v>
      </c>
      <c r="C78" t="s">
        <v>23</v>
      </c>
      <c r="D78" t="s">
        <v>6</v>
      </c>
      <c r="E78">
        <v>586</v>
      </c>
      <c r="F78">
        <v>0</v>
      </c>
      <c r="G78" s="3">
        <v>238979.75</v>
      </c>
    </row>
    <row r="79" spans="1:7">
      <c r="A79" t="s">
        <v>88</v>
      </c>
      <c r="B79" s="2">
        <v>46114</v>
      </c>
      <c r="C79" t="s">
        <v>1</v>
      </c>
      <c r="D79" t="s">
        <v>89</v>
      </c>
      <c r="E79">
        <v>145</v>
      </c>
      <c r="F79">
        <v>2</v>
      </c>
      <c r="G79" s="3">
        <v>102546.99</v>
      </c>
    </row>
    <row r="80" spans="1:7">
      <c r="A80" t="s">
        <v>90</v>
      </c>
      <c r="B80" s="2">
        <v>46198</v>
      </c>
      <c r="C80" t="s">
        <v>23</v>
      </c>
      <c r="D80" t="s">
        <v>38</v>
      </c>
      <c r="E80">
        <v>887</v>
      </c>
      <c r="F80">
        <v>0</v>
      </c>
      <c r="G80" s="3">
        <v>330469.31</v>
      </c>
    </row>
    <row r="81" spans="1:7">
      <c r="A81" t="s">
        <v>91</v>
      </c>
      <c r="B81" s="2">
        <v>45883</v>
      </c>
      <c r="C81" t="s">
        <v>8</v>
      </c>
      <c r="D81" t="s">
        <v>6</v>
      </c>
      <c r="E81">
        <v>297</v>
      </c>
      <c r="F81">
        <v>4</v>
      </c>
      <c r="G81" s="3">
        <v>310767.87</v>
      </c>
    </row>
    <row r="82" spans="1:7">
      <c r="A82" t="s">
        <v>92</v>
      </c>
      <c r="B82" s="2">
        <v>46037</v>
      </c>
      <c r="C82" t="s">
        <v>8</v>
      </c>
      <c r="D82" t="s">
        <v>38</v>
      </c>
      <c r="E82">
        <v>291</v>
      </c>
      <c r="F82">
        <v>3</v>
      </c>
      <c r="G82" s="3">
        <v>157439.37</v>
      </c>
    </row>
    <row r="83" spans="1:7">
      <c r="A83" t="s">
        <v>93</v>
      </c>
      <c r="B83" s="2">
        <v>45835</v>
      </c>
      <c r="C83" t="s">
        <v>8</v>
      </c>
      <c r="D83" t="s">
        <v>39</v>
      </c>
      <c r="E83">
        <v>235</v>
      </c>
      <c r="G83" s="3">
        <v>111417.31</v>
      </c>
    </row>
    <row r="84" spans="1:7">
      <c r="A84" t="s">
        <v>94</v>
      </c>
      <c r="B84" s="2">
        <v>45844</v>
      </c>
      <c r="C84" t="s">
        <v>1</v>
      </c>
      <c r="D84" t="s">
        <v>39</v>
      </c>
      <c r="E84">
        <v>150</v>
      </c>
      <c r="F84">
        <v>5</v>
      </c>
      <c r="G84" s="3">
        <v>67235.58</v>
      </c>
    </row>
    <row r="85" spans="1:7">
      <c r="A85" t="s">
        <v>95</v>
      </c>
      <c r="B85" s="2">
        <v>45732</v>
      </c>
      <c r="C85" t="s">
        <v>23</v>
      </c>
      <c r="D85" t="s">
        <v>4</v>
      </c>
      <c r="E85">
        <v>843</v>
      </c>
      <c r="F85">
        <v>0</v>
      </c>
      <c r="G85" s="3">
        <v>253248.66</v>
      </c>
    </row>
    <row r="86" spans="1:7">
      <c r="A86" t="s">
        <v>96</v>
      </c>
      <c r="B86" s="2">
        <v>46089</v>
      </c>
      <c r="C86" t="s">
        <v>1</v>
      </c>
      <c r="D86" t="s">
        <v>36</v>
      </c>
      <c r="E86">
        <v>124</v>
      </c>
      <c r="F86">
        <v>3</v>
      </c>
      <c r="G86" s="3">
        <v>62620.84</v>
      </c>
    </row>
    <row r="87" spans="1:7">
      <c r="A87" t="s">
        <v>97</v>
      </c>
      <c r="B87" s="2">
        <v>46194</v>
      </c>
      <c r="D87" t="s">
        <v>2</v>
      </c>
      <c r="E87">
        <v>167</v>
      </c>
      <c r="F87">
        <v>3</v>
      </c>
      <c r="G87" s="3">
        <v>91681.95</v>
      </c>
    </row>
    <row r="88" spans="1:7">
      <c r="A88" t="s">
        <v>98</v>
      </c>
      <c r="B88" s="2">
        <v>46056</v>
      </c>
      <c r="C88" t="s">
        <v>10</v>
      </c>
      <c r="D88" t="s">
        <v>36</v>
      </c>
      <c r="E88">
        <v>231</v>
      </c>
      <c r="G88" s="3">
        <v>214717.06</v>
      </c>
    </row>
    <row r="89" spans="1:7">
      <c r="A89" t="s">
        <v>99</v>
      </c>
      <c r="B89" s="2">
        <v>46128</v>
      </c>
      <c r="C89" t="s">
        <v>1</v>
      </c>
      <c r="D89" t="s">
        <v>6</v>
      </c>
      <c r="E89">
        <v>112</v>
      </c>
      <c r="F89" t="s">
        <v>18</v>
      </c>
      <c r="G89" s="3"/>
    </row>
    <row r="90" spans="1:7">
      <c r="A90" t="s">
        <v>100</v>
      </c>
      <c r="B90" s="2">
        <v>45868</v>
      </c>
      <c r="C90" t="s">
        <v>1</v>
      </c>
      <c r="D90" t="s">
        <v>6</v>
      </c>
      <c r="E90">
        <v>97</v>
      </c>
      <c r="F90">
        <v>6</v>
      </c>
      <c r="G90" s="3">
        <v>58265.18</v>
      </c>
    </row>
    <row r="91" spans="1:7">
      <c r="A91" t="s">
        <v>101</v>
      </c>
      <c r="B91" s="2">
        <v>45878</v>
      </c>
      <c r="C91" t="s">
        <v>23</v>
      </c>
      <c r="D91" t="s">
        <v>2</v>
      </c>
      <c r="E91">
        <v>934</v>
      </c>
      <c r="F91">
        <v>0</v>
      </c>
      <c r="G91" s="3">
        <v>432360.21</v>
      </c>
    </row>
    <row r="92" spans="1:7">
      <c r="A92" t="s">
        <v>102</v>
      </c>
      <c r="B92" s="2"/>
      <c r="C92" t="s">
        <v>8</v>
      </c>
      <c r="D92" t="s">
        <v>36</v>
      </c>
      <c r="E92">
        <v>194</v>
      </c>
      <c r="F92">
        <v>1</v>
      </c>
      <c r="G92" s="3">
        <v>135462.84</v>
      </c>
    </row>
    <row r="93" spans="1:7">
      <c r="A93" t="s">
        <v>103</v>
      </c>
      <c r="B93" s="2">
        <v>46045</v>
      </c>
      <c r="C93" t="s">
        <v>1</v>
      </c>
      <c r="D93" t="s">
        <v>6</v>
      </c>
      <c r="E93">
        <v>77</v>
      </c>
      <c r="F93">
        <v>3</v>
      </c>
      <c r="G93" s="3">
        <v>70238.490000000005</v>
      </c>
    </row>
    <row r="94" spans="1:7">
      <c r="A94" t="s">
        <v>104</v>
      </c>
      <c r="B94" s="2">
        <v>45994</v>
      </c>
      <c r="C94" t="s">
        <v>10</v>
      </c>
      <c r="D94" t="s">
        <v>6</v>
      </c>
      <c r="E94">
        <v>229</v>
      </c>
      <c r="G94" s="3">
        <v>298104.53000000003</v>
      </c>
    </row>
    <row r="95" spans="1:7">
      <c r="A95" t="s">
        <v>105</v>
      </c>
      <c r="B95" s="2">
        <v>45844</v>
      </c>
      <c r="C95" t="s">
        <v>8</v>
      </c>
      <c r="D95" t="s">
        <v>39</v>
      </c>
      <c r="E95">
        <v>161</v>
      </c>
      <c r="F95">
        <v>4</v>
      </c>
      <c r="G95" s="3">
        <v>110245.28</v>
      </c>
    </row>
    <row r="96" spans="1:7">
      <c r="A96" t="s">
        <v>106</v>
      </c>
      <c r="B96" s="2">
        <v>46186</v>
      </c>
      <c r="C96" t="s">
        <v>10</v>
      </c>
      <c r="E96">
        <v>206</v>
      </c>
      <c r="F96">
        <v>0</v>
      </c>
      <c r="G96" s="3">
        <v>168595.17</v>
      </c>
    </row>
    <row r="97" spans="1:7">
      <c r="A97" t="s">
        <v>107</v>
      </c>
      <c r="B97" s="2">
        <v>46036</v>
      </c>
      <c r="C97" t="s">
        <v>1</v>
      </c>
      <c r="D97" t="s">
        <v>39</v>
      </c>
      <c r="E97">
        <v>116</v>
      </c>
      <c r="F97">
        <v>3</v>
      </c>
      <c r="G97" s="3">
        <v>73511.17</v>
      </c>
    </row>
    <row r="98" spans="1:7">
      <c r="A98" t="s">
        <v>108</v>
      </c>
      <c r="B98" s="2">
        <v>45813</v>
      </c>
      <c r="C98" t="s">
        <v>1</v>
      </c>
      <c r="D98" t="s">
        <v>4</v>
      </c>
      <c r="E98">
        <v>141</v>
      </c>
      <c r="F98">
        <v>6</v>
      </c>
      <c r="G98" s="3">
        <v>64690.11</v>
      </c>
    </row>
    <row r="99" spans="1:7">
      <c r="A99" t="s">
        <v>109</v>
      </c>
      <c r="B99" s="2">
        <v>45680</v>
      </c>
      <c r="C99" t="s">
        <v>10</v>
      </c>
      <c r="D99" t="s">
        <v>39</v>
      </c>
      <c r="E99">
        <v>271</v>
      </c>
      <c r="F99">
        <v>0</v>
      </c>
      <c r="G99" s="3">
        <v>265541.71000000002</v>
      </c>
    </row>
    <row r="100" spans="1:7">
      <c r="A100" t="s">
        <v>110</v>
      </c>
      <c r="B100" s="2">
        <v>45951</v>
      </c>
      <c r="C100" t="s">
        <v>10</v>
      </c>
      <c r="D100" t="s">
        <v>2</v>
      </c>
      <c r="E100">
        <v>448</v>
      </c>
      <c r="F100">
        <v>0</v>
      </c>
      <c r="G100" s="3">
        <v>445115.15</v>
      </c>
    </row>
    <row r="101" spans="1:7">
      <c r="A101" t="s">
        <v>111</v>
      </c>
      <c r="B101" s="2">
        <v>45690</v>
      </c>
      <c r="C101" t="s">
        <v>5</v>
      </c>
      <c r="D101" t="s">
        <v>6</v>
      </c>
      <c r="E101">
        <v>415</v>
      </c>
      <c r="F101">
        <v>2</v>
      </c>
      <c r="G101" s="3">
        <v>445052.71</v>
      </c>
    </row>
    <row r="102" spans="1:7">
      <c r="B102" s="2">
        <v>45666</v>
      </c>
      <c r="C102" t="s">
        <v>1</v>
      </c>
      <c r="D102" t="s">
        <v>2</v>
      </c>
      <c r="E102">
        <v>154</v>
      </c>
      <c r="F102">
        <v>3</v>
      </c>
      <c r="G102" s="3">
        <v>116015.65</v>
      </c>
    </row>
    <row r="103" spans="1:7">
      <c r="A103" t="s">
        <v>112</v>
      </c>
      <c r="B103" s="2">
        <v>45931</v>
      </c>
      <c r="C103" t="s">
        <v>1</v>
      </c>
      <c r="D103" t="s">
        <v>2</v>
      </c>
      <c r="E103">
        <v>61</v>
      </c>
      <c r="F103">
        <v>1</v>
      </c>
      <c r="G103" s="3">
        <v>46892.15</v>
      </c>
    </row>
    <row r="104" spans="1:7">
      <c r="A104" t="s">
        <v>113</v>
      </c>
      <c r="B104" s="2">
        <v>45798</v>
      </c>
      <c r="C104" t="s">
        <v>10</v>
      </c>
      <c r="D104" t="s">
        <v>36</v>
      </c>
      <c r="E104">
        <v>270</v>
      </c>
      <c r="F104">
        <v>0</v>
      </c>
      <c r="G104" s="3">
        <v>262440.46000000002</v>
      </c>
    </row>
    <row r="105" spans="1:7">
      <c r="A105" t="s">
        <v>114</v>
      </c>
      <c r="B105" s="2">
        <v>45899</v>
      </c>
      <c r="D105" t="s">
        <v>6</v>
      </c>
      <c r="E105">
        <v>166</v>
      </c>
      <c r="F105">
        <v>5</v>
      </c>
      <c r="G105" s="3">
        <v>155168.88</v>
      </c>
    </row>
    <row r="106" spans="1:7">
      <c r="A106" t="s">
        <v>115</v>
      </c>
      <c r="B106" s="2">
        <v>46143</v>
      </c>
      <c r="C106" t="s">
        <v>1</v>
      </c>
      <c r="D106" t="s">
        <v>36</v>
      </c>
      <c r="E106">
        <v>135</v>
      </c>
      <c r="F106">
        <v>2</v>
      </c>
      <c r="G106" s="3">
        <v>73674.14</v>
      </c>
    </row>
    <row r="107" spans="1:7">
      <c r="A107" t="s">
        <v>116</v>
      </c>
      <c r="B107" s="2">
        <v>46158</v>
      </c>
      <c r="C107" t="s">
        <v>23</v>
      </c>
      <c r="D107" t="s">
        <v>6</v>
      </c>
      <c r="E107">
        <v>984</v>
      </c>
      <c r="F107">
        <v>0</v>
      </c>
      <c r="G107" s="3">
        <v>459356.74</v>
      </c>
    </row>
    <row r="108" spans="1:7">
      <c r="A108" t="s">
        <v>117</v>
      </c>
      <c r="B108" s="2">
        <v>45784</v>
      </c>
      <c r="C108" t="s">
        <v>1</v>
      </c>
      <c r="D108" t="s">
        <v>2</v>
      </c>
      <c r="E108">
        <v>168</v>
      </c>
      <c r="F108">
        <v>3</v>
      </c>
      <c r="G108" s="3">
        <v>92416.46</v>
      </c>
    </row>
    <row r="109" spans="1:7">
      <c r="A109" t="s">
        <v>118</v>
      </c>
      <c r="B109" s="2">
        <v>45665</v>
      </c>
      <c r="C109" t="s">
        <v>23</v>
      </c>
      <c r="D109" t="s">
        <v>6</v>
      </c>
      <c r="E109">
        <v>813</v>
      </c>
      <c r="F109">
        <v>0</v>
      </c>
      <c r="G109" s="3">
        <v>414242.22</v>
      </c>
    </row>
    <row r="110" spans="1:7">
      <c r="A110" t="s">
        <v>119</v>
      </c>
      <c r="B110" s="2">
        <v>46085</v>
      </c>
      <c r="C110" t="s">
        <v>23</v>
      </c>
      <c r="E110">
        <v>380</v>
      </c>
      <c r="F110">
        <v>0</v>
      </c>
      <c r="G110" s="3">
        <v>143686.20000000001</v>
      </c>
    </row>
    <row r="111" spans="1:7">
      <c r="A111" t="s">
        <v>120</v>
      </c>
      <c r="B111" s="2">
        <v>45837</v>
      </c>
      <c r="C111" t="s">
        <v>5</v>
      </c>
      <c r="D111" t="s">
        <v>6</v>
      </c>
      <c r="E111">
        <v>358</v>
      </c>
      <c r="F111">
        <v>2</v>
      </c>
      <c r="G111" s="3">
        <v>438404.42</v>
      </c>
    </row>
    <row r="112" spans="1:7">
      <c r="A112" t="s">
        <v>121</v>
      </c>
      <c r="B112" s="2">
        <v>46151</v>
      </c>
      <c r="C112" t="s">
        <v>5</v>
      </c>
      <c r="D112" t="s">
        <v>4</v>
      </c>
      <c r="E112">
        <v>371</v>
      </c>
      <c r="F112">
        <v>2</v>
      </c>
      <c r="G112" s="3">
        <v>203546.79</v>
      </c>
    </row>
    <row r="113" spans="1:7">
      <c r="A113" t="s">
        <v>122</v>
      </c>
      <c r="B113" s="2">
        <v>46182</v>
      </c>
      <c r="C113" t="s">
        <v>1</v>
      </c>
      <c r="D113" t="s">
        <v>6</v>
      </c>
      <c r="E113">
        <v>115</v>
      </c>
      <c r="F113">
        <v>6</v>
      </c>
      <c r="G113" s="3">
        <v>72611.19</v>
      </c>
    </row>
    <row r="114" spans="1:7">
      <c r="A114" t="s">
        <v>123</v>
      </c>
      <c r="B114" s="2">
        <v>45945</v>
      </c>
      <c r="C114" t="s">
        <v>10</v>
      </c>
      <c r="D114" t="s">
        <v>6</v>
      </c>
      <c r="E114">
        <v>493</v>
      </c>
      <c r="F114">
        <v>0</v>
      </c>
      <c r="G114" s="3">
        <v>427642.06</v>
      </c>
    </row>
    <row r="115" spans="1:7">
      <c r="A115" t="s">
        <v>124</v>
      </c>
      <c r="B115" s="2">
        <v>45957</v>
      </c>
      <c r="C115" t="s">
        <v>23</v>
      </c>
      <c r="D115" t="s">
        <v>4</v>
      </c>
      <c r="E115">
        <v>1076</v>
      </c>
      <c r="F115">
        <v>0</v>
      </c>
      <c r="G115" s="3">
        <v>334622.21999999997</v>
      </c>
    </row>
    <row r="116" spans="1:7">
      <c r="A116" t="s">
        <v>125</v>
      </c>
      <c r="B116" s="2">
        <v>46175</v>
      </c>
      <c r="C116" t="s">
        <v>1</v>
      </c>
      <c r="D116" t="s">
        <v>2</v>
      </c>
      <c r="E116">
        <v>104</v>
      </c>
      <c r="F116">
        <v>5</v>
      </c>
      <c r="G116" s="3">
        <v>56655.14</v>
      </c>
    </row>
    <row r="117" spans="1:7">
      <c r="A117" t="s">
        <v>126</v>
      </c>
      <c r="B117" s="2">
        <v>45986</v>
      </c>
      <c r="C117" t="s">
        <v>30</v>
      </c>
      <c r="D117" t="s">
        <v>6</v>
      </c>
      <c r="E117">
        <v>235</v>
      </c>
      <c r="F117">
        <v>0</v>
      </c>
      <c r="G117" s="3">
        <v>288826.65000000002</v>
      </c>
    </row>
    <row r="118" spans="1:7">
      <c r="A118" t="s">
        <v>127</v>
      </c>
      <c r="B118" s="2">
        <v>45670</v>
      </c>
      <c r="C118" t="s">
        <v>23</v>
      </c>
      <c r="D118" t="s">
        <v>6</v>
      </c>
      <c r="E118">
        <v>155</v>
      </c>
      <c r="F118">
        <v>0</v>
      </c>
      <c r="G118" s="3">
        <v>74769.710000000006</v>
      </c>
    </row>
    <row r="119" spans="1:7">
      <c r="A119" t="s">
        <v>128</v>
      </c>
      <c r="B119" s="2">
        <v>45855</v>
      </c>
      <c r="C119" t="s">
        <v>23</v>
      </c>
      <c r="D119" t="s">
        <v>6</v>
      </c>
      <c r="E119">
        <v>930</v>
      </c>
      <c r="F119">
        <v>0</v>
      </c>
      <c r="G119" s="3">
        <v>411198.88</v>
      </c>
    </row>
    <row r="120" spans="1:7">
      <c r="A120" t="s">
        <v>129</v>
      </c>
      <c r="B120" s="2">
        <v>45725</v>
      </c>
      <c r="C120" t="s">
        <v>10</v>
      </c>
      <c r="D120" t="s">
        <v>6</v>
      </c>
      <c r="E120">
        <v>413</v>
      </c>
      <c r="G120" s="3">
        <v>456980.34</v>
      </c>
    </row>
    <row r="121" spans="1:7">
      <c r="A121" t="s">
        <v>130</v>
      </c>
      <c r="B121" s="2">
        <v>45897</v>
      </c>
      <c r="C121" t="s">
        <v>1</v>
      </c>
      <c r="D121" t="s">
        <v>38</v>
      </c>
      <c r="E121">
        <v>62</v>
      </c>
      <c r="F121">
        <v>5</v>
      </c>
      <c r="G121" s="3">
        <v>31037.94</v>
      </c>
    </row>
    <row r="122" spans="1:7">
      <c r="A122" t="s">
        <v>131</v>
      </c>
      <c r="B122" s="2">
        <v>46179</v>
      </c>
      <c r="C122" t="s">
        <v>8</v>
      </c>
      <c r="D122" t="s">
        <v>39</v>
      </c>
      <c r="E122">
        <v>236</v>
      </c>
      <c r="F122">
        <v>3</v>
      </c>
      <c r="G122" s="3">
        <v>121984.45</v>
      </c>
    </row>
    <row r="123" spans="1:7">
      <c r="A123" t="s">
        <v>132</v>
      </c>
      <c r="B123" s="2">
        <v>46186</v>
      </c>
      <c r="C123" t="s">
        <v>1</v>
      </c>
      <c r="D123" t="s">
        <v>38</v>
      </c>
      <c r="E123">
        <v>53</v>
      </c>
      <c r="F123">
        <v>6</v>
      </c>
      <c r="G123" s="3">
        <v>30902.87</v>
      </c>
    </row>
    <row r="124" spans="1:7">
      <c r="A124" t="s">
        <v>133</v>
      </c>
      <c r="B124" s="2"/>
      <c r="C124" t="s">
        <v>5</v>
      </c>
      <c r="D124" t="s">
        <v>6</v>
      </c>
      <c r="E124">
        <v>409</v>
      </c>
      <c r="F124">
        <v>-3</v>
      </c>
      <c r="G124" s="3">
        <v>347482.18</v>
      </c>
    </row>
    <row r="125" spans="1:7">
      <c r="A125" t="s">
        <v>134</v>
      </c>
      <c r="B125" s="2">
        <v>45900</v>
      </c>
      <c r="C125" t="s">
        <v>1</v>
      </c>
      <c r="D125" t="s">
        <v>6</v>
      </c>
      <c r="E125">
        <v>116</v>
      </c>
      <c r="F125">
        <v>1</v>
      </c>
      <c r="G125" s="3">
        <v>87578.6</v>
      </c>
    </row>
    <row r="126" spans="1:7">
      <c r="A126" t="s">
        <v>135</v>
      </c>
      <c r="B126" s="2">
        <v>45886</v>
      </c>
      <c r="C126" t="s">
        <v>23</v>
      </c>
      <c r="D126" t="s">
        <v>4</v>
      </c>
      <c r="E126">
        <v>797</v>
      </c>
      <c r="G126" s="3">
        <v>255821.08</v>
      </c>
    </row>
    <row r="127" spans="1:7">
      <c r="A127" t="s">
        <v>136</v>
      </c>
      <c r="B127" s="2">
        <v>45855</v>
      </c>
      <c r="C127" t="s">
        <v>5</v>
      </c>
      <c r="D127" t="s">
        <v>2</v>
      </c>
      <c r="E127">
        <v>416</v>
      </c>
      <c r="F127">
        <v>2</v>
      </c>
      <c r="G127" s="3">
        <v>359691.04</v>
      </c>
    </row>
    <row r="128" spans="1:7">
      <c r="A128" t="s">
        <v>137</v>
      </c>
      <c r="B128" s="2">
        <v>45684</v>
      </c>
      <c r="C128" t="s">
        <v>23</v>
      </c>
      <c r="D128" t="s">
        <v>6</v>
      </c>
      <c r="E128">
        <v>1034</v>
      </c>
      <c r="G128" s="3">
        <v>633286.54</v>
      </c>
    </row>
    <row r="129" spans="1:7">
      <c r="A129" t="s">
        <v>138</v>
      </c>
      <c r="B129" s="2">
        <v>45872</v>
      </c>
      <c r="C129" t="s">
        <v>1</v>
      </c>
      <c r="D129" t="s">
        <v>2</v>
      </c>
      <c r="E129">
        <v>85</v>
      </c>
      <c r="F129">
        <v>6</v>
      </c>
      <c r="G129" s="3">
        <v>45594.97</v>
      </c>
    </row>
    <row r="130" spans="1:7">
      <c r="A130" t="s">
        <v>139</v>
      </c>
      <c r="B130" s="2">
        <v>45872</v>
      </c>
      <c r="C130" t="s">
        <v>23</v>
      </c>
      <c r="D130" t="s">
        <v>6</v>
      </c>
      <c r="E130">
        <v>1050</v>
      </c>
      <c r="F130">
        <v>0</v>
      </c>
      <c r="G130" s="3">
        <v>585752.54</v>
      </c>
    </row>
    <row r="131" spans="1:7">
      <c r="A131" t="s">
        <v>140</v>
      </c>
      <c r="B131" s="2">
        <v>45901</v>
      </c>
      <c r="C131" t="s">
        <v>5</v>
      </c>
      <c r="D131" t="s">
        <v>6</v>
      </c>
      <c r="E131">
        <v>400</v>
      </c>
      <c r="F131">
        <v>6</v>
      </c>
      <c r="G131" s="3">
        <v>334811.99</v>
      </c>
    </row>
    <row r="132" spans="1:7">
      <c r="A132" t="s">
        <v>141</v>
      </c>
      <c r="B132" s="2">
        <v>45893</v>
      </c>
      <c r="C132" t="s">
        <v>5</v>
      </c>
      <c r="D132" t="s">
        <v>39</v>
      </c>
      <c r="E132">
        <v>205</v>
      </c>
      <c r="F132">
        <v>1</v>
      </c>
      <c r="G132" s="3">
        <v>140423.18</v>
      </c>
    </row>
    <row r="133" spans="1:7">
      <c r="A133" t="s">
        <v>142</v>
      </c>
      <c r="B133" s="2">
        <v>46114</v>
      </c>
      <c r="C133" t="s">
        <v>1</v>
      </c>
      <c r="D133" t="s">
        <v>36</v>
      </c>
      <c r="E133">
        <v>98</v>
      </c>
      <c r="F133">
        <v>6</v>
      </c>
      <c r="G133" s="3">
        <v>58990.06</v>
      </c>
    </row>
    <row r="134" spans="1:7">
      <c r="A134" t="s">
        <v>143</v>
      </c>
      <c r="B134" s="2">
        <v>45862</v>
      </c>
      <c r="C134" t="s">
        <v>8</v>
      </c>
      <c r="D134" t="s">
        <v>6</v>
      </c>
      <c r="E134">
        <v>135</v>
      </c>
      <c r="F134">
        <v>5</v>
      </c>
      <c r="G134" s="3">
        <v>120354.21</v>
      </c>
    </row>
    <row r="135" spans="1:7">
      <c r="A135" t="s">
        <v>144</v>
      </c>
      <c r="B135" s="2">
        <v>45763</v>
      </c>
      <c r="C135" t="s">
        <v>1</v>
      </c>
      <c r="E135">
        <v>64</v>
      </c>
      <c r="F135">
        <v>4</v>
      </c>
      <c r="G135" s="3">
        <v>49469.93</v>
      </c>
    </row>
    <row r="136" spans="1:7">
      <c r="A136" t="s">
        <v>145</v>
      </c>
      <c r="B136" s="2">
        <v>45756</v>
      </c>
      <c r="C136" t="s">
        <v>8</v>
      </c>
      <c r="D136" t="s">
        <v>39</v>
      </c>
      <c r="F136">
        <v>1</v>
      </c>
      <c r="G136" s="3">
        <v>132570.15</v>
      </c>
    </row>
    <row r="137" spans="1:7">
      <c r="A137" t="s">
        <v>146</v>
      </c>
      <c r="B137" s="2">
        <v>46113</v>
      </c>
      <c r="C137" t="s">
        <v>23</v>
      </c>
      <c r="D137" t="s">
        <v>2</v>
      </c>
      <c r="E137">
        <v>343</v>
      </c>
      <c r="F137">
        <v>0</v>
      </c>
      <c r="G137" s="3">
        <v>169312.89</v>
      </c>
    </row>
    <row r="138" spans="1:7">
      <c r="A138" t="s">
        <v>147</v>
      </c>
      <c r="B138" s="2">
        <v>45955</v>
      </c>
      <c r="D138" t="s">
        <v>2</v>
      </c>
      <c r="E138">
        <v>149</v>
      </c>
      <c r="F138">
        <v>4</v>
      </c>
      <c r="G138" s="3">
        <v>99636.1</v>
      </c>
    </row>
    <row r="139" spans="1:7">
      <c r="A139" t="s">
        <v>148</v>
      </c>
      <c r="B139" s="2">
        <v>46225</v>
      </c>
      <c r="C139" t="s">
        <v>5</v>
      </c>
      <c r="D139" t="s">
        <v>2</v>
      </c>
      <c r="E139">
        <v>307</v>
      </c>
      <c r="F139">
        <v>1</v>
      </c>
      <c r="G139" s="3">
        <v>236948.43</v>
      </c>
    </row>
    <row r="140" spans="1:7">
      <c r="A140" t="s">
        <v>149</v>
      </c>
      <c r="B140" s="2">
        <v>45673</v>
      </c>
      <c r="C140" t="s">
        <v>150</v>
      </c>
      <c r="D140" t="s">
        <v>151</v>
      </c>
      <c r="E140">
        <v>512</v>
      </c>
      <c r="F140">
        <v>0</v>
      </c>
      <c r="G140" s="3">
        <v>207102.49</v>
      </c>
    </row>
    <row r="141" spans="1:7">
      <c r="A141" t="s">
        <v>152</v>
      </c>
      <c r="B141" s="2">
        <v>45785</v>
      </c>
      <c r="D141" t="s">
        <v>4</v>
      </c>
      <c r="E141">
        <v>144</v>
      </c>
      <c r="F141">
        <v>2</v>
      </c>
      <c r="G141" s="3">
        <v>56872.959999999999</v>
      </c>
    </row>
    <row r="142" spans="1:7">
      <c r="A142" t="s">
        <v>153</v>
      </c>
      <c r="B142" s="2"/>
      <c r="C142" t="s">
        <v>1</v>
      </c>
      <c r="D142" t="s">
        <v>39</v>
      </c>
      <c r="E142">
        <v>113</v>
      </c>
      <c r="F142">
        <v>6</v>
      </c>
      <c r="G142" s="3">
        <v>2000022</v>
      </c>
    </row>
    <row r="143" spans="1:7">
      <c r="A143" t="s">
        <v>154</v>
      </c>
      <c r="B143" s="2">
        <v>45987</v>
      </c>
      <c r="C143" t="s">
        <v>1</v>
      </c>
      <c r="E143">
        <v>114</v>
      </c>
      <c r="F143">
        <v>2</v>
      </c>
      <c r="G143" s="3">
        <v>71507.08</v>
      </c>
    </row>
    <row r="144" spans="1:7">
      <c r="A144" t="s">
        <v>155</v>
      </c>
      <c r="B144" s="2">
        <v>45742</v>
      </c>
      <c r="D144" t="s">
        <v>6</v>
      </c>
      <c r="E144">
        <v>283</v>
      </c>
      <c r="F144">
        <v>1</v>
      </c>
      <c r="G144" s="3">
        <v>194446.63</v>
      </c>
    </row>
    <row r="145" spans="1:7">
      <c r="A145" t="s">
        <v>156</v>
      </c>
      <c r="B145" s="2">
        <v>45688</v>
      </c>
      <c r="C145" t="s">
        <v>1</v>
      </c>
      <c r="D145" t="s">
        <v>6</v>
      </c>
      <c r="E145">
        <v>108</v>
      </c>
      <c r="F145">
        <v>3</v>
      </c>
      <c r="G145" s="3">
        <v>100687.2</v>
      </c>
    </row>
    <row r="146" spans="1:7">
      <c r="A146" t="s">
        <v>157</v>
      </c>
      <c r="B146" s="2">
        <v>46059</v>
      </c>
      <c r="C146" t="s">
        <v>8</v>
      </c>
      <c r="D146" t="s">
        <v>38</v>
      </c>
      <c r="E146">
        <v>160</v>
      </c>
      <c r="F146">
        <v>4</v>
      </c>
      <c r="G146" s="3">
        <v>67317.179999999993</v>
      </c>
    </row>
    <row r="147" spans="1:7">
      <c r="A147" t="s">
        <v>158</v>
      </c>
      <c r="B147" s="2">
        <v>46116</v>
      </c>
      <c r="C147" t="s">
        <v>8</v>
      </c>
      <c r="D147" t="s">
        <v>159</v>
      </c>
      <c r="F147">
        <v>3</v>
      </c>
      <c r="G147" s="3">
        <v>69647.41</v>
      </c>
    </row>
    <row r="148" spans="1:7">
      <c r="A148" t="s">
        <v>160</v>
      </c>
      <c r="B148" s="2">
        <v>45951</v>
      </c>
      <c r="C148" t="s">
        <v>23</v>
      </c>
      <c r="D148" t="s">
        <v>4</v>
      </c>
      <c r="E148">
        <v>1037</v>
      </c>
      <c r="F148">
        <v>0</v>
      </c>
      <c r="G148" s="3">
        <v>212834.03</v>
      </c>
    </row>
    <row r="149" spans="1:7">
      <c r="A149" t="s">
        <v>161</v>
      </c>
      <c r="B149" s="2">
        <v>45976</v>
      </c>
      <c r="C149" t="s">
        <v>10</v>
      </c>
      <c r="D149" t="s">
        <v>38</v>
      </c>
      <c r="E149">
        <v>122</v>
      </c>
      <c r="G149" s="3">
        <v>72454.350000000006</v>
      </c>
    </row>
    <row r="150" spans="1:7">
      <c r="A150" t="s">
        <v>162</v>
      </c>
      <c r="B150" s="2">
        <v>46154</v>
      </c>
      <c r="C150" t="s">
        <v>23</v>
      </c>
      <c r="D150" t="s">
        <v>38</v>
      </c>
      <c r="E150">
        <v>522</v>
      </c>
      <c r="F150">
        <v>0</v>
      </c>
      <c r="G150" s="3">
        <v>172424.78</v>
      </c>
    </row>
    <row r="151" spans="1:7">
      <c r="A151" t="s">
        <v>163</v>
      </c>
      <c r="B151" s="2">
        <v>45772</v>
      </c>
      <c r="C151" t="s">
        <v>8</v>
      </c>
      <c r="D151" t="s">
        <v>6</v>
      </c>
      <c r="E151">
        <v>254</v>
      </c>
      <c r="F151">
        <v>3</v>
      </c>
      <c r="G151" s="3">
        <v>207891.14</v>
      </c>
    </row>
    <row r="152" spans="1:7">
      <c r="A152" t="s">
        <v>164</v>
      </c>
      <c r="B152" s="2">
        <v>46052</v>
      </c>
      <c r="C152" t="s">
        <v>8</v>
      </c>
      <c r="D152" t="s">
        <v>39</v>
      </c>
      <c r="E152">
        <v>266</v>
      </c>
      <c r="F152">
        <v>3</v>
      </c>
      <c r="G152" s="3">
        <v>148627.41</v>
      </c>
    </row>
    <row r="153" spans="1:7">
      <c r="A153" t="s">
        <v>165</v>
      </c>
      <c r="B153" s="2">
        <v>46017</v>
      </c>
      <c r="C153" t="s">
        <v>23</v>
      </c>
      <c r="D153" t="s">
        <v>4</v>
      </c>
      <c r="E153">
        <v>2005</v>
      </c>
      <c r="F153">
        <v>0</v>
      </c>
      <c r="G153" s="3">
        <v>116193.49</v>
      </c>
    </row>
    <row r="154" spans="1:7">
      <c r="A154" t="s">
        <v>166</v>
      </c>
      <c r="B154" s="2">
        <v>46183</v>
      </c>
      <c r="C154" t="s">
        <v>1</v>
      </c>
      <c r="D154" t="s">
        <v>2</v>
      </c>
      <c r="E154">
        <v>49</v>
      </c>
      <c r="F154">
        <v>4</v>
      </c>
      <c r="G154" s="3">
        <v>28456.09</v>
      </c>
    </row>
    <row r="155" spans="1:7">
      <c r="A155" t="s">
        <v>167</v>
      </c>
      <c r="B155" s="2">
        <v>46125</v>
      </c>
      <c r="C155" t="s">
        <v>8</v>
      </c>
      <c r="D155" t="s">
        <v>36</v>
      </c>
      <c r="F155">
        <v>3</v>
      </c>
      <c r="G155" s="3">
        <v>194796.17</v>
      </c>
    </row>
    <row r="156" spans="1:7">
      <c r="A156" t="s">
        <v>168</v>
      </c>
      <c r="B156" s="2">
        <v>46078</v>
      </c>
      <c r="C156" t="s">
        <v>10</v>
      </c>
      <c r="D156" t="s">
        <v>6</v>
      </c>
      <c r="E156">
        <v>81</v>
      </c>
      <c r="F156">
        <v>0</v>
      </c>
      <c r="G156" s="3">
        <v>87754.22</v>
      </c>
    </row>
    <row r="157" spans="1:7">
      <c r="A157" t="s">
        <v>169</v>
      </c>
      <c r="B157" s="2">
        <v>45682</v>
      </c>
      <c r="C157" t="s">
        <v>8</v>
      </c>
      <c r="D157" t="s">
        <v>151</v>
      </c>
      <c r="E157">
        <v>140</v>
      </c>
      <c r="F157">
        <v>6</v>
      </c>
      <c r="G157" s="3">
        <v>65851.66</v>
      </c>
    </row>
    <row r="158" spans="1:7">
      <c r="A158" t="s">
        <v>170</v>
      </c>
      <c r="B158" s="2">
        <v>46120</v>
      </c>
      <c r="C158" t="s">
        <v>1</v>
      </c>
      <c r="E158">
        <v>94</v>
      </c>
      <c r="F158">
        <v>2</v>
      </c>
      <c r="G158" s="3">
        <v>86384.74</v>
      </c>
    </row>
    <row r="159" spans="1:7">
      <c r="A159" t="s">
        <v>171</v>
      </c>
      <c r="B159" s="2">
        <v>45958</v>
      </c>
      <c r="C159" t="s">
        <v>1</v>
      </c>
      <c r="D159" t="s">
        <v>36</v>
      </c>
      <c r="E159">
        <v>131</v>
      </c>
      <c r="F159">
        <v>4</v>
      </c>
      <c r="G159" s="3"/>
    </row>
    <row r="160" spans="1:7">
      <c r="A160" t="s">
        <v>172</v>
      </c>
      <c r="B160" s="2">
        <v>45937</v>
      </c>
      <c r="C160" t="s">
        <v>1</v>
      </c>
      <c r="D160" t="s">
        <v>4</v>
      </c>
      <c r="E160">
        <v>178</v>
      </c>
      <c r="F160">
        <v>6</v>
      </c>
      <c r="G160" s="3">
        <v>65079.35</v>
      </c>
    </row>
    <row r="161" spans="1:7">
      <c r="A161" t="s">
        <v>146</v>
      </c>
      <c r="B161" s="2">
        <v>46113</v>
      </c>
      <c r="C161" t="s">
        <v>23</v>
      </c>
      <c r="D161" t="s">
        <v>2</v>
      </c>
      <c r="E161">
        <v>343</v>
      </c>
      <c r="F161">
        <v>0</v>
      </c>
      <c r="G161" s="3">
        <v>169312.89</v>
      </c>
    </row>
    <row r="162" spans="1:7">
      <c r="A162" t="s">
        <v>173</v>
      </c>
      <c r="B162" s="2">
        <v>46012</v>
      </c>
      <c r="C162" t="s">
        <v>174</v>
      </c>
      <c r="D162" t="s">
        <v>36</v>
      </c>
      <c r="E162">
        <v>51</v>
      </c>
      <c r="F162">
        <v>5</v>
      </c>
      <c r="G162" s="3">
        <v>35723.39</v>
      </c>
    </row>
    <row r="163" spans="1:7">
      <c r="A163" t="s">
        <v>175</v>
      </c>
      <c r="B163" s="2">
        <v>45671</v>
      </c>
      <c r="C163" t="s">
        <v>5</v>
      </c>
      <c r="D163" t="s">
        <v>2</v>
      </c>
      <c r="E163">
        <v>370</v>
      </c>
      <c r="G163" s="3">
        <v>357812.88</v>
      </c>
    </row>
    <row r="164" spans="1:7">
      <c r="A164" t="s">
        <v>176</v>
      </c>
      <c r="B164" s="2">
        <v>45779</v>
      </c>
      <c r="D164" t="s">
        <v>6</v>
      </c>
      <c r="E164">
        <v>119</v>
      </c>
      <c r="F164">
        <v>2</v>
      </c>
      <c r="G164" s="3">
        <v>114645.92</v>
      </c>
    </row>
    <row r="165" spans="1:7">
      <c r="A165" t="s">
        <v>177</v>
      </c>
      <c r="B165" s="2">
        <v>45955</v>
      </c>
      <c r="C165" t="s">
        <v>8</v>
      </c>
      <c r="D165" t="s">
        <v>2</v>
      </c>
      <c r="E165">
        <v>225</v>
      </c>
      <c r="F165">
        <v>4</v>
      </c>
      <c r="G165" s="3">
        <v>122019.88</v>
      </c>
    </row>
    <row r="166" spans="1:7">
      <c r="A166" t="s">
        <v>178</v>
      </c>
      <c r="B166" s="2">
        <v>45877</v>
      </c>
      <c r="C166" t="s">
        <v>8</v>
      </c>
      <c r="D166" t="s">
        <v>4</v>
      </c>
      <c r="E166">
        <v>220</v>
      </c>
      <c r="F166">
        <v>2</v>
      </c>
      <c r="G166" s="3"/>
    </row>
    <row r="167" spans="1:7">
      <c r="A167" t="s">
        <v>179</v>
      </c>
      <c r="B167" s="2">
        <v>45904</v>
      </c>
      <c r="D167" t="s">
        <v>4</v>
      </c>
      <c r="E167">
        <v>267</v>
      </c>
      <c r="F167">
        <v>6</v>
      </c>
      <c r="G167" s="3">
        <v>156264.57</v>
      </c>
    </row>
    <row r="168" spans="1:7">
      <c r="A168" t="s">
        <v>180</v>
      </c>
      <c r="B168" s="2">
        <v>46074</v>
      </c>
      <c r="C168" t="s">
        <v>23</v>
      </c>
      <c r="D168" t="s">
        <v>6</v>
      </c>
      <c r="E168">
        <v>612</v>
      </c>
      <c r="F168">
        <v>0</v>
      </c>
      <c r="G168" s="3">
        <v>349661.86</v>
      </c>
    </row>
    <row r="169" spans="1:7">
      <c r="A169" t="s">
        <v>181</v>
      </c>
      <c r="B169" s="2">
        <v>46195</v>
      </c>
      <c r="C169" t="s">
        <v>1</v>
      </c>
      <c r="D169" t="s">
        <v>2</v>
      </c>
      <c r="E169">
        <v>130</v>
      </c>
      <c r="F169">
        <v>3</v>
      </c>
      <c r="G169" s="3">
        <v>80759.42</v>
      </c>
    </row>
    <row r="170" spans="1:7">
      <c r="A170" t="s">
        <v>182</v>
      </c>
      <c r="B170" s="2"/>
      <c r="C170" t="s">
        <v>1</v>
      </c>
      <c r="D170" t="s">
        <v>6</v>
      </c>
      <c r="E170">
        <v>157</v>
      </c>
      <c r="F170">
        <v>6</v>
      </c>
      <c r="G170" s="3">
        <v>136989.97</v>
      </c>
    </row>
    <row r="171" spans="1:7">
      <c r="A171" t="s">
        <v>183</v>
      </c>
      <c r="B171" s="2">
        <v>45723</v>
      </c>
      <c r="C171" t="s">
        <v>1</v>
      </c>
      <c r="D171" t="s">
        <v>4</v>
      </c>
      <c r="E171">
        <v>173</v>
      </c>
      <c r="G171" s="3">
        <v>82765.759999999995</v>
      </c>
    </row>
    <row r="172" spans="1:7">
      <c r="A172" t="s">
        <v>184</v>
      </c>
      <c r="B172" s="2">
        <v>46116</v>
      </c>
      <c r="C172" t="s">
        <v>1</v>
      </c>
      <c r="D172" t="s">
        <v>6</v>
      </c>
      <c r="E172">
        <v>96</v>
      </c>
      <c r="F172">
        <v>2</v>
      </c>
      <c r="G172" s="3"/>
    </row>
    <row r="173" spans="1:7">
      <c r="A173" t="s">
        <v>185</v>
      </c>
      <c r="B173" s="2">
        <v>45977</v>
      </c>
      <c r="C173" t="s">
        <v>1</v>
      </c>
      <c r="D173" t="s">
        <v>2</v>
      </c>
      <c r="E173">
        <v>80</v>
      </c>
      <c r="F173">
        <v>3</v>
      </c>
      <c r="G173" s="3">
        <v>47609.54</v>
      </c>
    </row>
    <row r="174" spans="1:7">
      <c r="A174" t="s">
        <v>186</v>
      </c>
      <c r="B174" s="2"/>
      <c r="C174" t="s">
        <v>1</v>
      </c>
      <c r="D174" t="s">
        <v>6</v>
      </c>
      <c r="E174">
        <v>120</v>
      </c>
      <c r="F174">
        <v>6</v>
      </c>
      <c r="G174" s="3">
        <v>93224.61</v>
      </c>
    </row>
    <row r="175" spans="1:7">
      <c r="A175" t="s">
        <v>187</v>
      </c>
      <c r="B175" s="2">
        <v>46202</v>
      </c>
      <c r="C175" t="s">
        <v>5</v>
      </c>
      <c r="D175" t="s">
        <v>6</v>
      </c>
      <c r="E175">
        <v>218</v>
      </c>
      <c r="F175">
        <v>1</v>
      </c>
      <c r="G175" s="3">
        <v>181066.84</v>
      </c>
    </row>
    <row r="176" spans="1:7">
      <c r="A176" t="s">
        <v>188</v>
      </c>
      <c r="B176" s="2">
        <v>46207</v>
      </c>
      <c r="C176" t="s">
        <v>8</v>
      </c>
      <c r="D176" t="s">
        <v>6</v>
      </c>
      <c r="E176">
        <v>113</v>
      </c>
      <c r="F176">
        <v>5</v>
      </c>
      <c r="G176" s="3">
        <v>87690.72</v>
      </c>
    </row>
    <row r="177" spans="1:7">
      <c r="A177" t="s">
        <v>189</v>
      </c>
      <c r="B177" s="2">
        <v>45726</v>
      </c>
      <c r="C177" t="s">
        <v>8</v>
      </c>
      <c r="D177" t="s">
        <v>6</v>
      </c>
      <c r="E177">
        <v>295</v>
      </c>
      <c r="F177">
        <v>5</v>
      </c>
      <c r="G177" s="3">
        <v>291714.15999999997</v>
      </c>
    </row>
    <row r="178" spans="1:7">
      <c r="A178" t="s">
        <v>190</v>
      </c>
      <c r="B178" s="2">
        <v>45746</v>
      </c>
      <c r="C178" t="s">
        <v>8</v>
      </c>
      <c r="D178" t="s">
        <v>38</v>
      </c>
      <c r="E178">
        <v>104</v>
      </c>
      <c r="F178">
        <v>2</v>
      </c>
      <c r="G178" s="3">
        <v>44255.44</v>
      </c>
    </row>
    <row r="179" spans="1:7">
      <c r="A179" t="s">
        <v>191</v>
      </c>
      <c r="B179" s="2">
        <v>45798</v>
      </c>
      <c r="C179" t="s">
        <v>8</v>
      </c>
      <c r="E179">
        <v>141</v>
      </c>
      <c r="F179">
        <v>3</v>
      </c>
      <c r="G179" s="3">
        <v>75550.36</v>
      </c>
    </row>
    <row r="180" spans="1:7">
      <c r="A180" t="s">
        <v>192</v>
      </c>
      <c r="B180" s="2"/>
      <c r="C180" t="s">
        <v>23</v>
      </c>
      <c r="D180" t="s">
        <v>6</v>
      </c>
      <c r="E180">
        <v>480</v>
      </c>
      <c r="F180">
        <v>0</v>
      </c>
      <c r="G180" s="3">
        <v>258804.07</v>
      </c>
    </row>
    <row r="181" spans="1:7">
      <c r="A181" t="s">
        <v>193</v>
      </c>
      <c r="B181" s="2">
        <v>46048</v>
      </c>
      <c r="C181" t="s">
        <v>5</v>
      </c>
      <c r="D181" t="s">
        <v>38</v>
      </c>
      <c r="E181">
        <v>433</v>
      </c>
      <c r="G181" s="3">
        <v>273035.81</v>
      </c>
    </row>
    <row r="182" spans="1:7">
      <c r="A182" t="s">
        <v>194</v>
      </c>
      <c r="B182" s="2">
        <v>45710</v>
      </c>
      <c r="C182" t="s">
        <v>5</v>
      </c>
      <c r="D182" t="s">
        <v>6</v>
      </c>
      <c r="E182">
        <v>353</v>
      </c>
      <c r="F182">
        <v>5</v>
      </c>
      <c r="G182" s="3">
        <v>367511.3</v>
      </c>
    </row>
    <row r="183" spans="1:7">
      <c r="A183" t="s">
        <v>195</v>
      </c>
      <c r="B183" s="2"/>
      <c r="C183" t="s">
        <v>23</v>
      </c>
      <c r="D183" t="s">
        <v>2</v>
      </c>
      <c r="E183">
        <v>533</v>
      </c>
      <c r="F183">
        <v>0</v>
      </c>
      <c r="G183" s="3">
        <v>245953.75</v>
      </c>
    </row>
    <row r="184" spans="1:7">
      <c r="A184" t="s">
        <v>196</v>
      </c>
      <c r="B184" s="2" t="s">
        <v>51</v>
      </c>
      <c r="C184" t="s">
        <v>23</v>
      </c>
      <c r="E184">
        <v>711</v>
      </c>
      <c r="F184">
        <v>0</v>
      </c>
      <c r="G184" s="3">
        <v>309908.96000000002</v>
      </c>
    </row>
    <row r="185" spans="1:7">
      <c r="A185" t="s">
        <v>197</v>
      </c>
      <c r="B185" s="2">
        <v>45934</v>
      </c>
      <c r="C185" t="s">
        <v>23</v>
      </c>
      <c r="E185">
        <v>553</v>
      </c>
      <c r="F185">
        <v>0</v>
      </c>
      <c r="G185" s="3">
        <v>128577.67</v>
      </c>
    </row>
    <row r="186" spans="1:7">
      <c r="A186" t="s">
        <v>198</v>
      </c>
      <c r="B186" s="2">
        <v>46209</v>
      </c>
      <c r="C186" t="s">
        <v>8</v>
      </c>
      <c r="D186" t="s">
        <v>6</v>
      </c>
      <c r="E186">
        <v>288</v>
      </c>
      <c r="F186">
        <v>4</v>
      </c>
      <c r="G186" s="3">
        <v>-6</v>
      </c>
    </row>
    <row r="187" spans="1:7">
      <c r="A187" t="s">
        <v>199</v>
      </c>
      <c r="B187" s="2">
        <v>45890</v>
      </c>
      <c r="C187" t="s">
        <v>8</v>
      </c>
      <c r="D187" t="s">
        <v>2</v>
      </c>
      <c r="E187">
        <v>237</v>
      </c>
      <c r="F187">
        <v>3</v>
      </c>
      <c r="G187" s="3">
        <v>165928.29999999999</v>
      </c>
    </row>
    <row r="188" spans="1:7">
      <c r="A188" t="s">
        <v>200</v>
      </c>
      <c r="B188" s="2">
        <v>46113</v>
      </c>
      <c r="C188" t="s">
        <v>1</v>
      </c>
      <c r="D188" t="s">
        <v>6</v>
      </c>
      <c r="E188">
        <v>146</v>
      </c>
      <c r="F188">
        <v>6</v>
      </c>
      <c r="G188" s="3">
        <v>111013.11</v>
      </c>
    </row>
    <row r="189" spans="1:7">
      <c r="A189" t="s">
        <v>201</v>
      </c>
      <c r="B189" s="2">
        <v>45708</v>
      </c>
      <c r="C189" t="s">
        <v>1</v>
      </c>
      <c r="D189" t="s">
        <v>2</v>
      </c>
      <c r="E189">
        <v>169</v>
      </c>
      <c r="F189">
        <v>4</v>
      </c>
      <c r="G189" s="3">
        <v>96379.57</v>
      </c>
    </row>
    <row r="190" spans="1:7">
      <c r="A190" t="s">
        <v>202</v>
      </c>
      <c r="B190" s="2">
        <v>46132</v>
      </c>
      <c r="C190" t="s">
        <v>8</v>
      </c>
      <c r="D190" t="s">
        <v>36</v>
      </c>
      <c r="E190">
        <v>124</v>
      </c>
      <c r="F190">
        <v>2</v>
      </c>
      <c r="G190" s="3">
        <v>80531.67</v>
      </c>
    </row>
    <row r="191" spans="1:7">
      <c r="A191" t="s">
        <v>203</v>
      </c>
      <c r="B191" s="2">
        <v>45894</v>
      </c>
      <c r="C191" t="s">
        <v>8</v>
      </c>
      <c r="D191" t="s">
        <v>38</v>
      </c>
      <c r="E191">
        <v>286</v>
      </c>
      <c r="F191">
        <v>3</v>
      </c>
      <c r="G191" s="3">
        <v>181108.11</v>
      </c>
    </row>
    <row r="192" spans="1:7">
      <c r="A192" t="s">
        <v>204</v>
      </c>
      <c r="B192" s="2">
        <v>46132</v>
      </c>
      <c r="C192" t="s">
        <v>23</v>
      </c>
      <c r="D192" t="s">
        <v>4</v>
      </c>
      <c r="E192">
        <v>1028</v>
      </c>
      <c r="F192">
        <v>0</v>
      </c>
      <c r="G192" s="3"/>
    </row>
    <row r="193" spans="1:7">
      <c r="A193" t="s">
        <v>205</v>
      </c>
      <c r="B193" s="2">
        <v>45875</v>
      </c>
      <c r="C193" t="s">
        <v>8</v>
      </c>
      <c r="D193" t="s">
        <v>2</v>
      </c>
      <c r="E193">
        <v>198</v>
      </c>
      <c r="F193">
        <v>5</v>
      </c>
      <c r="G193" s="3">
        <v>167221.66</v>
      </c>
    </row>
    <row r="194" spans="1:7">
      <c r="A194" t="s">
        <v>206</v>
      </c>
      <c r="B194" s="2">
        <v>45946</v>
      </c>
      <c r="C194" t="s">
        <v>23</v>
      </c>
      <c r="D194" t="s">
        <v>36</v>
      </c>
      <c r="E194">
        <v>564</v>
      </c>
      <c r="G194" s="3">
        <v>222835.68</v>
      </c>
    </row>
    <row r="195" spans="1:7">
      <c r="A195" t="s">
        <v>207</v>
      </c>
      <c r="B195" s="2">
        <v>45680</v>
      </c>
      <c r="C195" t="s">
        <v>208</v>
      </c>
      <c r="D195" t="s">
        <v>39</v>
      </c>
      <c r="E195">
        <v>275</v>
      </c>
      <c r="F195">
        <v>5</v>
      </c>
      <c r="G195" s="3"/>
    </row>
    <row r="196" spans="1:7">
      <c r="B196" s="2">
        <v>45821</v>
      </c>
      <c r="C196" t="s">
        <v>1</v>
      </c>
      <c r="D196" t="s">
        <v>2</v>
      </c>
      <c r="E196">
        <v>46</v>
      </c>
      <c r="F196">
        <v>1</v>
      </c>
      <c r="G196" s="3">
        <v>35663.14</v>
      </c>
    </row>
    <row r="197" spans="1:7">
      <c r="A197" t="s">
        <v>209</v>
      </c>
      <c r="B197" s="2">
        <v>46152</v>
      </c>
      <c r="C197" t="s">
        <v>8</v>
      </c>
      <c r="E197">
        <v>260</v>
      </c>
      <c r="F197">
        <v>5</v>
      </c>
      <c r="G197" s="3">
        <v>147415.75</v>
      </c>
    </row>
    <row r="198" spans="1:7">
      <c r="A198" t="s">
        <v>210</v>
      </c>
      <c r="B198" s="2">
        <v>45772</v>
      </c>
      <c r="C198" t="s">
        <v>1</v>
      </c>
      <c r="D198" t="s">
        <v>6</v>
      </c>
      <c r="E198">
        <v>91</v>
      </c>
      <c r="F198">
        <v>6</v>
      </c>
      <c r="G198" s="3">
        <v>64666.59</v>
      </c>
    </row>
    <row r="199" spans="1:7">
      <c r="A199" t="s">
        <v>211</v>
      </c>
      <c r="B199" s="2">
        <v>46126</v>
      </c>
      <c r="C199" t="s">
        <v>5</v>
      </c>
      <c r="D199" t="s">
        <v>38</v>
      </c>
      <c r="E199">
        <v>298</v>
      </c>
      <c r="F199">
        <v>1</v>
      </c>
      <c r="G199" s="3">
        <v>189707.45</v>
      </c>
    </row>
    <row r="200" spans="1:7">
      <c r="A200" t="s">
        <v>212</v>
      </c>
      <c r="B200" s="2">
        <v>45803</v>
      </c>
      <c r="C200" t="s">
        <v>10</v>
      </c>
      <c r="D200" t="s">
        <v>39</v>
      </c>
      <c r="E200">
        <v>262</v>
      </c>
      <c r="F200">
        <v>0</v>
      </c>
      <c r="G200" s="3">
        <v>163360.28</v>
      </c>
    </row>
    <row r="201" spans="1:7">
      <c r="A201" t="s">
        <v>213</v>
      </c>
      <c r="B201" s="2">
        <v>45714</v>
      </c>
      <c r="C201" t="s">
        <v>1</v>
      </c>
      <c r="D201" t="s">
        <v>6</v>
      </c>
      <c r="E201">
        <v>136</v>
      </c>
      <c r="F201">
        <v>1</v>
      </c>
      <c r="G201" s="3">
        <v>125646.86</v>
      </c>
    </row>
    <row r="202" spans="1:7">
      <c r="A202" t="s">
        <v>214</v>
      </c>
      <c r="B202" s="2">
        <v>45663</v>
      </c>
      <c r="C202" t="s">
        <v>23</v>
      </c>
      <c r="D202" t="s">
        <v>6</v>
      </c>
      <c r="E202">
        <v>312</v>
      </c>
      <c r="F202">
        <v>0</v>
      </c>
      <c r="G202" s="3">
        <v>166560.13</v>
      </c>
    </row>
    <row r="203" spans="1:7">
      <c r="A203" t="s">
        <v>215</v>
      </c>
      <c r="B203" s="2">
        <v>45858</v>
      </c>
      <c r="C203" t="s">
        <v>1</v>
      </c>
      <c r="D203" t="s">
        <v>2</v>
      </c>
      <c r="E203">
        <v>80</v>
      </c>
      <c r="F203">
        <v>6</v>
      </c>
      <c r="G203" s="3">
        <v>57989.15</v>
      </c>
    </row>
    <row r="204" spans="1:7">
      <c r="A204" t="s">
        <v>216</v>
      </c>
      <c r="B204" s="2">
        <v>45897</v>
      </c>
      <c r="C204" t="s">
        <v>1</v>
      </c>
      <c r="D204" t="s">
        <v>6</v>
      </c>
      <c r="E204">
        <v>75</v>
      </c>
      <c r="F204">
        <v>6</v>
      </c>
      <c r="G204" s="3">
        <v>62345.68</v>
      </c>
    </row>
    <row r="205" spans="1:7">
      <c r="A205" t="s">
        <v>217</v>
      </c>
      <c r="B205" s="2">
        <v>46022</v>
      </c>
      <c r="C205" t="s">
        <v>8</v>
      </c>
      <c r="D205" t="s">
        <v>2</v>
      </c>
      <c r="E205">
        <v>190</v>
      </c>
      <c r="F205">
        <v>6</v>
      </c>
      <c r="G205" s="3">
        <v>122581.2</v>
      </c>
    </row>
    <row r="206" spans="1:7">
      <c r="A206" t="s">
        <v>218</v>
      </c>
      <c r="B206" s="2">
        <v>45868</v>
      </c>
      <c r="C206" t="s">
        <v>23</v>
      </c>
      <c r="D206" t="s">
        <v>36</v>
      </c>
      <c r="E206">
        <v>969</v>
      </c>
      <c r="F206">
        <v>0</v>
      </c>
      <c r="G206" s="3">
        <v>358971.14</v>
      </c>
    </row>
    <row r="207" spans="1:7">
      <c r="A207" t="s">
        <v>219</v>
      </c>
      <c r="B207" s="2">
        <v>45874</v>
      </c>
      <c r="C207" t="s">
        <v>23</v>
      </c>
      <c r="D207" t="s">
        <v>6</v>
      </c>
      <c r="E207">
        <v>828</v>
      </c>
      <c r="F207">
        <v>0</v>
      </c>
      <c r="G207" s="3">
        <v>482475.06</v>
      </c>
    </row>
    <row r="208" spans="1:7">
      <c r="A208" t="s">
        <v>220</v>
      </c>
      <c r="B208" s="2">
        <v>46146</v>
      </c>
      <c r="C208" t="s">
        <v>8</v>
      </c>
      <c r="D208" t="s">
        <v>39</v>
      </c>
      <c r="E208">
        <v>257</v>
      </c>
      <c r="F208">
        <v>3</v>
      </c>
      <c r="G208" s="3"/>
    </row>
    <row r="209" spans="1:7">
      <c r="A209" t="s">
        <v>221</v>
      </c>
      <c r="B209" s="2">
        <v>45832</v>
      </c>
      <c r="C209" t="s">
        <v>1</v>
      </c>
      <c r="D209" t="s">
        <v>6</v>
      </c>
      <c r="E209">
        <v>110</v>
      </c>
      <c r="F209">
        <v>5</v>
      </c>
      <c r="G209" s="3">
        <v>89377.91</v>
      </c>
    </row>
    <row r="210" spans="1:7">
      <c r="A210" t="s">
        <v>140</v>
      </c>
      <c r="B210" s="2">
        <v>45901</v>
      </c>
      <c r="C210" t="s">
        <v>5</v>
      </c>
      <c r="D210" t="s">
        <v>6</v>
      </c>
      <c r="E210">
        <v>400</v>
      </c>
      <c r="F210">
        <v>6</v>
      </c>
      <c r="G210" s="3">
        <v>334811.99</v>
      </c>
    </row>
    <row r="211" spans="1:7">
      <c r="A211" t="s">
        <v>222</v>
      </c>
      <c r="B211" s="2">
        <v>45706</v>
      </c>
      <c r="C211" t="s">
        <v>8</v>
      </c>
      <c r="D211" t="s">
        <v>6</v>
      </c>
      <c r="E211">
        <v>272</v>
      </c>
      <c r="F211">
        <v>2</v>
      </c>
      <c r="G211" s="3">
        <v>248870.37</v>
      </c>
    </row>
    <row r="212" spans="1:7">
      <c r="B212" s="2">
        <v>45797</v>
      </c>
      <c r="C212" t="s">
        <v>10</v>
      </c>
      <c r="D212" t="s">
        <v>6</v>
      </c>
      <c r="E212">
        <v>370</v>
      </c>
      <c r="F212">
        <v>0</v>
      </c>
      <c r="G212" s="3">
        <v>367832.51</v>
      </c>
    </row>
    <row r="213" spans="1:7">
      <c r="A213" t="s">
        <v>223</v>
      </c>
      <c r="B213" s="2">
        <v>46138</v>
      </c>
      <c r="C213" t="s">
        <v>10</v>
      </c>
      <c r="D213" t="s">
        <v>2</v>
      </c>
      <c r="F213">
        <v>0</v>
      </c>
      <c r="G213" s="3">
        <v>234986.41</v>
      </c>
    </row>
    <row r="214" spans="1:7">
      <c r="A214" t="s">
        <v>224</v>
      </c>
      <c r="B214" s="2">
        <v>45692</v>
      </c>
      <c r="C214" t="s">
        <v>5</v>
      </c>
      <c r="D214" t="s">
        <v>4</v>
      </c>
      <c r="E214">
        <v>370</v>
      </c>
      <c r="F214">
        <v>4</v>
      </c>
      <c r="G214" s="3">
        <v>197459.85</v>
      </c>
    </row>
    <row r="215" spans="1:7">
      <c r="A215" t="s">
        <v>225</v>
      </c>
      <c r="B215" s="2">
        <v>46082</v>
      </c>
      <c r="C215" t="s">
        <v>5</v>
      </c>
      <c r="D215" t="s">
        <v>36</v>
      </c>
      <c r="E215">
        <v>2015</v>
      </c>
      <c r="F215">
        <v>1</v>
      </c>
      <c r="G215" s="3">
        <v>387835.35</v>
      </c>
    </row>
    <row r="216" spans="1:7">
      <c r="B216" s="2">
        <v>45771</v>
      </c>
      <c r="C216" t="s">
        <v>1</v>
      </c>
      <c r="D216" t="s">
        <v>36</v>
      </c>
      <c r="E216">
        <v>109</v>
      </c>
      <c r="F216">
        <v>3</v>
      </c>
      <c r="G216" s="3">
        <v>63318.239999999998</v>
      </c>
    </row>
    <row r="217" spans="1:7">
      <c r="B217" s="2">
        <v>45983</v>
      </c>
      <c r="C217" t="s">
        <v>8</v>
      </c>
      <c r="D217" t="s">
        <v>2</v>
      </c>
      <c r="E217">
        <v>278</v>
      </c>
      <c r="F217">
        <v>4</v>
      </c>
      <c r="G217" s="3">
        <v>198006.25</v>
      </c>
    </row>
    <row r="218" spans="1:7">
      <c r="A218" t="s">
        <v>226</v>
      </c>
      <c r="B218" s="2">
        <v>46196</v>
      </c>
      <c r="C218" t="s">
        <v>1</v>
      </c>
      <c r="D218" t="s">
        <v>6</v>
      </c>
      <c r="E218">
        <v>163</v>
      </c>
      <c r="F218">
        <v>5</v>
      </c>
      <c r="G218" s="3"/>
    </row>
    <row r="219" spans="1:7">
      <c r="A219" t="s">
        <v>227</v>
      </c>
      <c r="B219" s="2">
        <v>45723</v>
      </c>
      <c r="C219" t="s">
        <v>8</v>
      </c>
      <c r="D219" t="s">
        <v>2</v>
      </c>
      <c r="E219">
        <v>243</v>
      </c>
      <c r="F219">
        <v>6</v>
      </c>
      <c r="G219" s="3">
        <v>143567.67000000001</v>
      </c>
    </row>
    <row r="220" spans="1:7">
      <c r="A220" t="s">
        <v>228</v>
      </c>
      <c r="B220" s="2"/>
      <c r="C220" t="s">
        <v>10</v>
      </c>
      <c r="D220" t="s">
        <v>36</v>
      </c>
      <c r="E220">
        <v>85</v>
      </c>
      <c r="F220">
        <v>0</v>
      </c>
      <c r="G220" s="3">
        <v>68505.66</v>
      </c>
    </row>
    <row r="221" spans="1:7">
      <c r="A221" t="s">
        <v>229</v>
      </c>
      <c r="B221" s="2">
        <v>45743</v>
      </c>
      <c r="C221" t="s">
        <v>1</v>
      </c>
      <c r="D221" t="s">
        <v>2</v>
      </c>
      <c r="E221">
        <v>98</v>
      </c>
      <c r="F221">
        <v>6</v>
      </c>
      <c r="G221" s="3">
        <v>66905.66</v>
      </c>
    </row>
    <row r="222" spans="1:7">
      <c r="A222" t="s">
        <v>230</v>
      </c>
      <c r="B222" s="2">
        <v>45947</v>
      </c>
      <c r="C222" t="s">
        <v>1</v>
      </c>
      <c r="D222" t="s">
        <v>6</v>
      </c>
      <c r="E222">
        <v>45</v>
      </c>
      <c r="F222">
        <v>4</v>
      </c>
      <c r="G222" s="3">
        <v>43452.44</v>
      </c>
    </row>
    <row r="223" spans="1:7">
      <c r="A223" t="s">
        <v>231</v>
      </c>
      <c r="B223" s="2">
        <v>46064</v>
      </c>
      <c r="C223" t="s">
        <v>1</v>
      </c>
      <c r="D223" t="s">
        <v>6</v>
      </c>
      <c r="E223">
        <v>167</v>
      </c>
      <c r="F223">
        <v>5</v>
      </c>
      <c r="G223" s="3">
        <v>165536.85999999999</v>
      </c>
    </row>
    <row r="224" spans="1:7">
      <c r="A224" t="s">
        <v>232</v>
      </c>
      <c r="B224" s="2">
        <v>45825</v>
      </c>
      <c r="C224" t="s">
        <v>1</v>
      </c>
      <c r="D224" t="s">
        <v>4</v>
      </c>
      <c r="E224">
        <v>179</v>
      </c>
      <c r="F224">
        <v>4</v>
      </c>
      <c r="G224" s="3">
        <v>69380.52</v>
      </c>
    </row>
    <row r="225" spans="1:7">
      <c r="A225" t="s">
        <v>233</v>
      </c>
      <c r="B225" s="2">
        <v>46110</v>
      </c>
      <c r="C225" t="s">
        <v>10</v>
      </c>
      <c r="D225" t="s">
        <v>39</v>
      </c>
      <c r="E225">
        <v>67</v>
      </c>
      <c r="F225">
        <v>0</v>
      </c>
      <c r="G225" s="3">
        <v>53434.66</v>
      </c>
    </row>
    <row r="226" spans="1:7">
      <c r="A226" t="s">
        <v>234</v>
      </c>
      <c r="B226" s="2"/>
      <c r="C226" t="s">
        <v>23</v>
      </c>
      <c r="D226" t="s">
        <v>36</v>
      </c>
      <c r="E226">
        <v>946</v>
      </c>
      <c r="F226">
        <v>0</v>
      </c>
      <c r="G226" s="3">
        <v>439320.47</v>
      </c>
    </row>
    <row r="227" spans="1:7">
      <c r="A227" t="s">
        <v>235</v>
      </c>
      <c r="B227" s="2">
        <v>45773</v>
      </c>
      <c r="C227" t="s">
        <v>1</v>
      </c>
      <c r="D227" t="s">
        <v>6</v>
      </c>
      <c r="E227">
        <v>73</v>
      </c>
      <c r="F227">
        <v>3</v>
      </c>
      <c r="G227" s="3">
        <v>53095.29</v>
      </c>
    </row>
    <row r="228" spans="1:7">
      <c r="A228" t="s">
        <v>236</v>
      </c>
      <c r="B228" s="2">
        <v>45994</v>
      </c>
      <c r="C228" t="s">
        <v>5</v>
      </c>
      <c r="E228">
        <v>250</v>
      </c>
      <c r="F228">
        <v>4</v>
      </c>
      <c r="G228" s="3">
        <v>236965.25</v>
      </c>
    </row>
    <row r="229" spans="1:7">
      <c r="A229" t="s">
        <v>237</v>
      </c>
      <c r="B229" s="2">
        <v>45888</v>
      </c>
      <c r="C229" t="s">
        <v>10</v>
      </c>
      <c r="D229" t="s">
        <v>36</v>
      </c>
      <c r="E229">
        <v>121</v>
      </c>
      <c r="F229">
        <v>0</v>
      </c>
      <c r="G229" s="3">
        <v>90730.46</v>
      </c>
    </row>
    <row r="230" spans="1:7">
      <c r="A230" t="s">
        <v>238</v>
      </c>
      <c r="B230" s="2">
        <v>45827</v>
      </c>
      <c r="C230" t="s">
        <v>1</v>
      </c>
      <c r="D230" t="s">
        <v>39</v>
      </c>
      <c r="E230">
        <v>164</v>
      </c>
      <c r="F230">
        <v>4</v>
      </c>
      <c r="G230" s="3">
        <v>94468.46</v>
      </c>
    </row>
    <row r="231" spans="1:7">
      <c r="A231" t="s">
        <v>239</v>
      </c>
      <c r="B231" s="2">
        <v>45719</v>
      </c>
      <c r="C231" t="s">
        <v>8</v>
      </c>
      <c r="D231" t="s">
        <v>38</v>
      </c>
      <c r="E231">
        <v>275</v>
      </c>
      <c r="F231">
        <v>1</v>
      </c>
      <c r="G231" s="3">
        <v>179626.83</v>
      </c>
    </row>
    <row r="232" spans="1:7">
      <c r="A232" t="s">
        <v>240</v>
      </c>
      <c r="B232" s="2">
        <v>46224</v>
      </c>
      <c r="C232" t="s">
        <v>10</v>
      </c>
      <c r="D232" t="s">
        <v>39</v>
      </c>
      <c r="E232">
        <v>282</v>
      </c>
      <c r="F232">
        <v>0</v>
      </c>
      <c r="G232" s="3">
        <v>259324.65</v>
      </c>
    </row>
    <row r="233" spans="1:7">
      <c r="A233" t="s">
        <v>241</v>
      </c>
      <c r="B233" s="2">
        <v>45791</v>
      </c>
      <c r="C233" t="s">
        <v>1</v>
      </c>
      <c r="D233" t="s">
        <v>4</v>
      </c>
      <c r="E233">
        <v>53</v>
      </c>
      <c r="F233">
        <v>3</v>
      </c>
      <c r="G233" s="3">
        <v>17505.310000000001</v>
      </c>
    </row>
    <row r="234" spans="1:7">
      <c r="A234" t="s">
        <v>242</v>
      </c>
      <c r="B234" s="2">
        <v>45684</v>
      </c>
      <c r="C234" t="s">
        <v>10</v>
      </c>
      <c r="E234">
        <v>480</v>
      </c>
      <c r="F234">
        <v>0</v>
      </c>
      <c r="G234" s="3">
        <v>374537.91</v>
      </c>
    </row>
    <row r="235" spans="1:7">
      <c r="A235" t="s">
        <v>243</v>
      </c>
      <c r="B235" s="2">
        <v>46054</v>
      </c>
      <c r="C235" t="s">
        <v>8</v>
      </c>
      <c r="D235" t="s">
        <v>6</v>
      </c>
      <c r="E235">
        <v>180</v>
      </c>
      <c r="F235">
        <v>3</v>
      </c>
      <c r="G235" s="3">
        <v>177806.97</v>
      </c>
    </row>
    <row r="236" spans="1:7">
      <c r="A236" t="s">
        <v>244</v>
      </c>
      <c r="B236" s="2">
        <v>46119</v>
      </c>
      <c r="C236" t="s">
        <v>8</v>
      </c>
      <c r="D236" t="s">
        <v>6</v>
      </c>
      <c r="F236">
        <v>6</v>
      </c>
      <c r="G236" s="3">
        <v>167940.3</v>
      </c>
    </row>
    <row r="237" spans="1:7">
      <c r="A237" t="s">
        <v>245</v>
      </c>
      <c r="B237" s="2">
        <v>45704</v>
      </c>
      <c r="C237" t="s">
        <v>23</v>
      </c>
      <c r="D237" t="s">
        <v>2</v>
      </c>
      <c r="E237">
        <v>932</v>
      </c>
      <c r="F237">
        <v>0</v>
      </c>
      <c r="G237" s="3">
        <v>381069.18</v>
      </c>
    </row>
    <row r="238" spans="1:7">
      <c r="A238" t="s">
        <v>41</v>
      </c>
      <c r="B238" s="2">
        <v>45822</v>
      </c>
      <c r="C238" t="s">
        <v>5</v>
      </c>
      <c r="D238" t="s">
        <v>6</v>
      </c>
      <c r="E238">
        <v>428</v>
      </c>
      <c r="F238">
        <v>4</v>
      </c>
      <c r="G238" s="3">
        <v>423951.96</v>
      </c>
    </row>
    <row r="239" spans="1:7">
      <c r="B239" s="2">
        <v>45740</v>
      </c>
      <c r="C239" t="s">
        <v>1</v>
      </c>
      <c r="D239" t="s">
        <v>2</v>
      </c>
      <c r="E239">
        <v>48</v>
      </c>
      <c r="F239">
        <v>5</v>
      </c>
      <c r="G239" s="3">
        <v>29776.16</v>
      </c>
    </row>
    <row r="240" spans="1:7">
      <c r="A240" t="s">
        <v>246</v>
      </c>
      <c r="B240" s="2">
        <v>46006</v>
      </c>
      <c r="C240" t="s">
        <v>1</v>
      </c>
      <c r="D240" t="s">
        <v>4</v>
      </c>
      <c r="F240">
        <v>1</v>
      </c>
      <c r="G240" s="3">
        <v>26350.21</v>
      </c>
    </row>
    <row r="241" spans="1:7">
      <c r="A241" t="s">
        <v>247</v>
      </c>
      <c r="B241" s="2">
        <v>45670</v>
      </c>
      <c r="C241" t="s">
        <v>8</v>
      </c>
      <c r="D241" t="s">
        <v>38</v>
      </c>
      <c r="E241">
        <v>271</v>
      </c>
      <c r="F241">
        <v>3</v>
      </c>
      <c r="G241" s="3">
        <v>164521.60999999999</v>
      </c>
    </row>
    <row r="242" spans="1:7">
      <c r="A242" t="s">
        <v>248</v>
      </c>
      <c r="B242" s="2">
        <v>45881</v>
      </c>
      <c r="D242" t="s">
        <v>6</v>
      </c>
      <c r="E242">
        <v>211</v>
      </c>
      <c r="F242">
        <v>4</v>
      </c>
      <c r="G242" s="3">
        <v>166531.88</v>
      </c>
    </row>
    <row r="243" spans="1:7">
      <c r="A243" t="s">
        <v>249</v>
      </c>
      <c r="B243" s="2">
        <v>45842</v>
      </c>
      <c r="C243" t="s">
        <v>5</v>
      </c>
      <c r="D243" t="s">
        <v>2</v>
      </c>
      <c r="E243">
        <v>247</v>
      </c>
      <c r="F243">
        <v>1</v>
      </c>
      <c r="G243" s="3">
        <v>166736.47</v>
      </c>
    </row>
    <row r="244" spans="1:7">
      <c r="A244" t="s">
        <v>250</v>
      </c>
      <c r="B244" s="2">
        <v>45864</v>
      </c>
      <c r="C244" t="s">
        <v>1</v>
      </c>
      <c r="D244" t="s">
        <v>6</v>
      </c>
      <c r="E244">
        <v>151</v>
      </c>
      <c r="F244">
        <v>3</v>
      </c>
      <c r="G244" s="3">
        <v>132514.54</v>
      </c>
    </row>
    <row r="245" spans="1:7">
      <c r="A245" t="s">
        <v>251</v>
      </c>
      <c r="B245" s="2">
        <v>46155</v>
      </c>
      <c r="C245" t="s">
        <v>10</v>
      </c>
      <c r="D245" t="s">
        <v>6</v>
      </c>
      <c r="E245">
        <v>227</v>
      </c>
      <c r="F245">
        <v>0</v>
      </c>
      <c r="G245" s="3">
        <v>203931.01</v>
      </c>
    </row>
    <row r="246" spans="1:7">
      <c r="A246" t="s">
        <v>252</v>
      </c>
      <c r="B246" s="2">
        <v>46205</v>
      </c>
      <c r="C246" t="s">
        <v>18</v>
      </c>
      <c r="D246" t="s">
        <v>4</v>
      </c>
      <c r="E246">
        <v>139</v>
      </c>
      <c r="F246">
        <v>5</v>
      </c>
      <c r="G246" s="3">
        <v>55450.17</v>
      </c>
    </row>
    <row r="247" spans="1:7">
      <c r="A247" t="s">
        <v>68</v>
      </c>
      <c r="B247" s="2">
        <v>45958</v>
      </c>
      <c r="C247" t="s">
        <v>5</v>
      </c>
      <c r="D247" t="s">
        <v>6</v>
      </c>
      <c r="E247">
        <v>317</v>
      </c>
      <c r="F247">
        <v>3</v>
      </c>
      <c r="G247" s="3">
        <v>384484.34</v>
      </c>
    </row>
    <row r="248" spans="1:7">
      <c r="A248" t="s">
        <v>253</v>
      </c>
      <c r="B248" s="2">
        <v>46106</v>
      </c>
      <c r="C248" t="s">
        <v>1</v>
      </c>
      <c r="D248" t="s">
        <v>6</v>
      </c>
      <c r="E248">
        <v>135</v>
      </c>
      <c r="F248">
        <v>5</v>
      </c>
      <c r="G248" s="3">
        <v>101200.25</v>
      </c>
    </row>
    <row r="249" spans="1:7">
      <c r="A249" t="s">
        <v>254</v>
      </c>
      <c r="B249" s="2">
        <v>45691</v>
      </c>
      <c r="D249" t="s">
        <v>6</v>
      </c>
      <c r="E249">
        <v>964</v>
      </c>
      <c r="F249">
        <v>0</v>
      </c>
      <c r="G249" s="3">
        <v>620677.11</v>
      </c>
    </row>
    <row r="250" spans="1:7">
      <c r="A250" t="s">
        <v>255</v>
      </c>
      <c r="B250" s="2">
        <v>45910</v>
      </c>
      <c r="C250" t="s">
        <v>8</v>
      </c>
      <c r="D250" t="s">
        <v>2</v>
      </c>
      <c r="E250">
        <v>153</v>
      </c>
      <c r="F250">
        <v>4</v>
      </c>
      <c r="G250" s="3">
        <v>126438.58</v>
      </c>
    </row>
    <row r="251" spans="1:7">
      <c r="A251" t="s">
        <v>256</v>
      </c>
      <c r="B251" s="2">
        <v>45795</v>
      </c>
      <c r="C251" t="s">
        <v>23</v>
      </c>
      <c r="D251" t="s">
        <v>36</v>
      </c>
      <c r="E251">
        <v>876</v>
      </c>
      <c r="F251">
        <v>0</v>
      </c>
      <c r="G251" s="3">
        <v>257158.82</v>
      </c>
    </row>
    <row r="252" spans="1:7">
      <c r="A252" t="s">
        <v>257</v>
      </c>
      <c r="B252" s="2">
        <v>46140</v>
      </c>
      <c r="C252" t="s">
        <v>1</v>
      </c>
      <c r="D252" t="s">
        <v>2</v>
      </c>
      <c r="E252">
        <v>136</v>
      </c>
      <c r="F252">
        <v>5</v>
      </c>
      <c r="G252" s="3">
        <v>104361.2</v>
      </c>
    </row>
    <row r="253" spans="1:7">
      <c r="A253" t="s">
        <v>258</v>
      </c>
      <c r="B253" s="2">
        <v>46180</v>
      </c>
      <c r="C253" t="s">
        <v>1</v>
      </c>
      <c r="D253" t="s">
        <v>36</v>
      </c>
      <c r="E253">
        <v>99</v>
      </c>
      <c r="F253">
        <v>2</v>
      </c>
      <c r="G253" s="3">
        <v>60868.21</v>
      </c>
    </row>
    <row r="254" spans="1:7">
      <c r="B254" s="2">
        <v>46195</v>
      </c>
      <c r="C254" t="s">
        <v>8</v>
      </c>
      <c r="D254" t="s">
        <v>6</v>
      </c>
      <c r="E254">
        <v>174</v>
      </c>
      <c r="F254">
        <v>1</v>
      </c>
      <c r="G254" s="3">
        <v>118866.51</v>
      </c>
    </row>
    <row r="255" spans="1:7">
      <c r="A255" t="s">
        <v>85</v>
      </c>
      <c r="B255" s="2">
        <v>45971</v>
      </c>
      <c r="C255" t="s">
        <v>23</v>
      </c>
      <c r="D255" t="s">
        <v>259</v>
      </c>
      <c r="E255">
        <v>595</v>
      </c>
      <c r="F255">
        <v>0</v>
      </c>
      <c r="G255" s="3">
        <v>149841.1</v>
      </c>
    </row>
    <row r="256" spans="1:7">
      <c r="A256" t="s">
        <v>260</v>
      </c>
      <c r="B256" s="2">
        <v>46026</v>
      </c>
      <c r="C256" t="s">
        <v>10</v>
      </c>
      <c r="D256" t="s">
        <v>36</v>
      </c>
      <c r="E256">
        <v>176</v>
      </c>
      <c r="F256">
        <v>0</v>
      </c>
      <c r="G256" s="3"/>
    </row>
    <row r="257" spans="1:7">
      <c r="A257" t="s">
        <v>261</v>
      </c>
      <c r="B257" s="2">
        <v>45666</v>
      </c>
      <c r="C257" t="s">
        <v>8</v>
      </c>
      <c r="D257" t="s">
        <v>6</v>
      </c>
      <c r="E257">
        <v>197</v>
      </c>
      <c r="F257">
        <v>6</v>
      </c>
      <c r="G257" s="3">
        <v>189446.43</v>
      </c>
    </row>
    <row r="258" spans="1:7">
      <c r="A258" t="s">
        <v>262</v>
      </c>
      <c r="B258" s="2">
        <v>45854</v>
      </c>
      <c r="C258" t="s">
        <v>5</v>
      </c>
      <c r="D258" t="s">
        <v>4</v>
      </c>
      <c r="E258">
        <v>227</v>
      </c>
      <c r="F258">
        <v>6</v>
      </c>
      <c r="G258" s="3">
        <v>90771.99</v>
      </c>
    </row>
    <row r="259" spans="1:7">
      <c r="A259" t="s">
        <v>263</v>
      </c>
      <c r="B259" s="2">
        <v>46225</v>
      </c>
      <c r="C259" t="s">
        <v>1</v>
      </c>
      <c r="D259" t="s">
        <v>6</v>
      </c>
      <c r="E259">
        <v>143</v>
      </c>
      <c r="F259">
        <v>-7</v>
      </c>
      <c r="G259" s="3">
        <v>137022.95000000001</v>
      </c>
    </row>
    <row r="260" spans="1:7">
      <c r="A260" t="s">
        <v>264</v>
      </c>
      <c r="B260" s="2">
        <v>45709</v>
      </c>
      <c r="C260" t="s">
        <v>10</v>
      </c>
      <c r="D260" t="s">
        <v>36</v>
      </c>
      <c r="E260">
        <v>121</v>
      </c>
      <c r="F260">
        <v>0</v>
      </c>
      <c r="G260" s="3">
        <v>115011.18</v>
      </c>
    </row>
    <row r="261" spans="1:7">
      <c r="A261" t="s">
        <v>96</v>
      </c>
      <c r="B261" s="2">
        <v>46089</v>
      </c>
      <c r="C261" t="s">
        <v>1</v>
      </c>
      <c r="D261" t="s">
        <v>36</v>
      </c>
      <c r="E261">
        <v>124</v>
      </c>
      <c r="F261">
        <v>3</v>
      </c>
      <c r="G261" s="3">
        <v>62620.84</v>
      </c>
    </row>
    <row r="262" spans="1:7">
      <c r="A262" t="s">
        <v>265</v>
      </c>
      <c r="B262" s="2">
        <v>46147</v>
      </c>
      <c r="D262" t="s">
        <v>6</v>
      </c>
      <c r="E262">
        <v>220</v>
      </c>
      <c r="F262">
        <v>4</v>
      </c>
      <c r="G262" s="3">
        <v>139367.63</v>
      </c>
    </row>
    <row r="263" spans="1:7">
      <c r="A263" t="s">
        <v>266</v>
      </c>
      <c r="B263" s="2">
        <v>45977</v>
      </c>
      <c r="C263" t="s">
        <v>1</v>
      </c>
      <c r="D263" t="s">
        <v>6</v>
      </c>
      <c r="E263">
        <v>150</v>
      </c>
      <c r="F263">
        <v>4</v>
      </c>
      <c r="G263" s="3">
        <v>142440.4</v>
      </c>
    </row>
    <row r="264" spans="1:7">
      <c r="A264" t="s">
        <v>267</v>
      </c>
      <c r="B264" s="2">
        <v>45845</v>
      </c>
      <c r="D264" t="s">
        <v>4</v>
      </c>
      <c r="E264">
        <v>85</v>
      </c>
      <c r="F264">
        <v>2</v>
      </c>
      <c r="G264" s="3">
        <v>31577.45</v>
      </c>
    </row>
    <row r="265" spans="1:7">
      <c r="A265" t="s">
        <v>268</v>
      </c>
      <c r="B265" s="2">
        <v>45907</v>
      </c>
      <c r="C265" t="s">
        <v>1</v>
      </c>
      <c r="D265" t="s">
        <v>36</v>
      </c>
      <c r="E265">
        <v>86</v>
      </c>
      <c r="F265">
        <v>4</v>
      </c>
      <c r="G265" s="3">
        <v>52826.79</v>
      </c>
    </row>
    <row r="266" spans="1:7">
      <c r="B266" s="2">
        <v>46218</v>
      </c>
      <c r="C266" t="s">
        <v>23</v>
      </c>
      <c r="D266" t="s">
        <v>6</v>
      </c>
      <c r="E266">
        <v>1178</v>
      </c>
      <c r="F266">
        <v>0</v>
      </c>
      <c r="G266" s="3">
        <v>647780.75</v>
      </c>
    </row>
    <row r="267" spans="1:7">
      <c r="A267" t="s">
        <v>269</v>
      </c>
      <c r="B267" s="2">
        <v>46137</v>
      </c>
      <c r="C267" t="s">
        <v>5</v>
      </c>
      <c r="D267" t="s">
        <v>30</v>
      </c>
      <c r="E267">
        <v>351</v>
      </c>
      <c r="F267">
        <v>4</v>
      </c>
      <c r="G267" s="3">
        <v>393930.75</v>
      </c>
    </row>
    <row r="268" spans="1:7">
      <c r="A268" t="s">
        <v>270</v>
      </c>
      <c r="B268" s="2">
        <v>46028</v>
      </c>
      <c r="C268" t="s">
        <v>5</v>
      </c>
      <c r="E268">
        <v>206</v>
      </c>
      <c r="F268">
        <v>2</v>
      </c>
      <c r="G268" s="3">
        <v>129894.71</v>
      </c>
    </row>
    <row r="269" spans="1:7">
      <c r="A269" t="s">
        <v>271</v>
      </c>
      <c r="B269" s="2">
        <v>45983</v>
      </c>
      <c r="C269" t="s">
        <v>1</v>
      </c>
      <c r="D269" t="s">
        <v>36</v>
      </c>
      <c r="E269">
        <v>140</v>
      </c>
      <c r="F269">
        <v>1</v>
      </c>
      <c r="G269" s="3">
        <v>71176.98</v>
      </c>
    </row>
    <row r="270" spans="1:7">
      <c r="A270" t="s">
        <v>272</v>
      </c>
      <c r="B270" s="2">
        <v>46200</v>
      </c>
      <c r="C270" t="s">
        <v>273</v>
      </c>
      <c r="D270" t="s">
        <v>6</v>
      </c>
      <c r="E270">
        <v>446</v>
      </c>
      <c r="F270">
        <v>2</v>
      </c>
      <c r="G270" s="3">
        <v>411454.97</v>
      </c>
    </row>
    <row r="271" spans="1:7">
      <c r="A271" t="s">
        <v>274</v>
      </c>
      <c r="B271" s="2">
        <v>46118</v>
      </c>
      <c r="C271" t="s">
        <v>1</v>
      </c>
      <c r="D271" t="s">
        <v>39</v>
      </c>
      <c r="E271">
        <v>156</v>
      </c>
      <c r="G271" s="3">
        <v>93585.85</v>
      </c>
    </row>
    <row r="272" spans="1:7">
      <c r="B272" s="2">
        <v>45674</v>
      </c>
      <c r="C272" t="s">
        <v>1</v>
      </c>
      <c r="D272" t="s">
        <v>36</v>
      </c>
      <c r="E272">
        <v>54</v>
      </c>
      <c r="F272">
        <v>6</v>
      </c>
      <c r="G272" s="3">
        <v>28982.99</v>
      </c>
    </row>
    <row r="273" spans="1:7">
      <c r="A273" t="s">
        <v>275</v>
      </c>
      <c r="B273" s="2">
        <v>45979</v>
      </c>
      <c r="C273" t="s">
        <v>8</v>
      </c>
      <c r="D273" t="s">
        <v>36</v>
      </c>
      <c r="E273">
        <v>129</v>
      </c>
      <c r="F273">
        <v>2</v>
      </c>
      <c r="G273" s="3">
        <v>90085.26</v>
      </c>
    </row>
    <row r="274" spans="1:7">
      <c r="A274" t="s">
        <v>207</v>
      </c>
      <c r="B274" s="2">
        <v>45680</v>
      </c>
      <c r="C274" t="s">
        <v>8</v>
      </c>
      <c r="D274" t="s">
        <v>39</v>
      </c>
      <c r="E274">
        <v>275</v>
      </c>
      <c r="F274">
        <v>5</v>
      </c>
      <c r="G274" s="3">
        <v>139716.45000000001</v>
      </c>
    </row>
    <row r="275" spans="1:7">
      <c r="A275" t="s">
        <v>276</v>
      </c>
      <c r="B275" s="2">
        <v>45964</v>
      </c>
      <c r="C275" t="s">
        <v>10</v>
      </c>
      <c r="D275" t="s">
        <v>6</v>
      </c>
      <c r="E275">
        <v>379</v>
      </c>
      <c r="F275">
        <v>0</v>
      </c>
      <c r="G275" s="3">
        <v>367240.24</v>
      </c>
    </row>
    <row r="276" spans="1:7">
      <c r="A276" t="s">
        <v>277</v>
      </c>
      <c r="B276" s="2">
        <v>46058</v>
      </c>
      <c r="C276" t="s">
        <v>10</v>
      </c>
      <c r="D276" t="s">
        <v>4</v>
      </c>
      <c r="E276">
        <v>438</v>
      </c>
      <c r="F276">
        <v>0</v>
      </c>
      <c r="G276" s="3">
        <v>320632.78999999998</v>
      </c>
    </row>
    <row r="277" spans="1:7">
      <c r="A277" t="s">
        <v>278</v>
      </c>
      <c r="B277" s="2">
        <v>46136</v>
      </c>
      <c r="C277" t="s">
        <v>1</v>
      </c>
      <c r="D277" t="s">
        <v>39</v>
      </c>
      <c r="F277">
        <v>4</v>
      </c>
      <c r="G277" s="3">
        <v>30944.31</v>
      </c>
    </row>
    <row r="278" spans="1:7">
      <c r="A278" t="s">
        <v>279</v>
      </c>
      <c r="B278" s="2">
        <v>46128</v>
      </c>
      <c r="C278" t="s">
        <v>8</v>
      </c>
      <c r="D278" t="s">
        <v>6</v>
      </c>
      <c r="E278">
        <v>247</v>
      </c>
      <c r="F278">
        <v>2</v>
      </c>
      <c r="G278" s="3">
        <v>199671.1</v>
      </c>
    </row>
    <row r="279" spans="1:7">
      <c r="A279" t="s">
        <v>280</v>
      </c>
      <c r="B279" s="2">
        <v>46170</v>
      </c>
      <c r="C279" t="s">
        <v>23</v>
      </c>
      <c r="D279" t="s">
        <v>6</v>
      </c>
      <c r="E279">
        <v>178</v>
      </c>
      <c r="F279">
        <v>0</v>
      </c>
      <c r="G279" s="3">
        <v>98954.2</v>
      </c>
    </row>
    <row r="280" spans="1:7">
      <c r="A280" t="s">
        <v>281</v>
      </c>
      <c r="B280" s="2">
        <v>45758</v>
      </c>
      <c r="C280" t="s">
        <v>1</v>
      </c>
      <c r="D280" t="s">
        <v>2</v>
      </c>
      <c r="E280">
        <v>120</v>
      </c>
      <c r="F280">
        <v>4</v>
      </c>
      <c r="G280" s="3">
        <v>79125.929999999993</v>
      </c>
    </row>
    <row r="281" spans="1:7">
      <c r="A281" t="s">
        <v>282</v>
      </c>
      <c r="B281" s="2">
        <v>46103</v>
      </c>
      <c r="C281" t="s">
        <v>8</v>
      </c>
      <c r="D281" t="s">
        <v>6</v>
      </c>
      <c r="E281">
        <v>155</v>
      </c>
      <c r="F281">
        <v>4</v>
      </c>
      <c r="G281" s="3">
        <v>126254.52</v>
      </c>
    </row>
    <row r="282" spans="1:7">
      <c r="A282" t="s">
        <v>232</v>
      </c>
      <c r="B282" s="2">
        <v>45825</v>
      </c>
      <c r="C282" t="s">
        <v>1</v>
      </c>
      <c r="D282" t="s">
        <v>4</v>
      </c>
      <c r="E282">
        <v>179</v>
      </c>
      <c r="F282">
        <v>4</v>
      </c>
      <c r="G282" s="3">
        <v>69380.52</v>
      </c>
    </row>
    <row r="283" spans="1:7">
      <c r="A283" t="s">
        <v>283</v>
      </c>
      <c r="B283" s="2">
        <v>45720</v>
      </c>
      <c r="C283" t="s">
        <v>5</v>
      </c>
      <c r="E283">
        <v>336</v>
      </c>
      <c r="F283">
        <v>5</v>
      </c>
      <c r="G283" s="3">
        <v>212203.17</v>
      </c>
    </row>
    <row r="284" spans="1:7">
      <c r="A284" t="s">
        <v>284</v>
      </c>
      <c r="B284" s="2">
        <v>45851</v>
      </c>
      <c r="C284" t="s">
        <v>1</v>
      </c>
      <c r="D284" t="s">
        <v>39</v>
      </c>
      <c r="E284">
        <v>63</v>
      </c>
      <c r="F284">
        <v>3</v>
      </c>
      <c r="G284" s="3">
        <v>31555.03</v>
      </c>
    </row>
    <row r="285" spans="1:7">
      <c r="A285" t="s">
        <v>285</v>
      </c>
      <c r="B285" s="2">
        <v>45900</v>
      </c>
      <c r="C285" t="s">
        <v>1</v>
      </c>
      <c r="D285" t="s">
        <v>39</v>
      </c>
      <c r="E285">
        <v>75</v>
      </c>
      <c r="F285">
        <v>2</v>
      </c>
      <c r="G285" s="3">
        <v>36230.51</v>
      </c>
    </row>
    <row r="286" spans="1:7">
      <c r="A286" t="s">
        <v>286</v>
      </c>
      <c r="B286" s="2">
        <v>46127</v>
      </c>
      <c r="E286">
        <v>1088</v>
      </c>
      <c r="F286">
        <v>0</v>
      </c>
      <c r="G286" s="3">
        <v>345994.4</v>
      </c>
    </row>
    <row r="287" spans="1:7">
      <c r="A287" t="s">
        <v>287</v>
      </c>
      <c r="B287" s="2">
        <v>46067</v>
      </c>
      <c r="C287" t="s">
        <v>1</v>
      </c>
      <c r="D287" t="s">
        <v>6</v>
      </c>
      <c r="E287">
        <v>153</v>
      </c>
      <c r="F287">
        <v>3</v>
      </c>
      <c r="G287" s="3">
        <v>145555.35</v>
      </c>
    </row>
    <row r="288" spans="1:7">
      <c r="A288" t="s">
        <v>288</v>
      </c>
      <c r="B288" s="2">
        <v>46223</v>
      </c>
      <c r="C288" t="s">
        <v>5</v>
      </c>
      <c r="D288" t="s">
        <v>36</v>
      </c>
      <c r="E288">
        <v>221</v>
      </c>
      <c r="F288" t="s">
        <v>30</v>
      </c>
      <c r="G288" s="3">
        <v>135679.79</v>
      </c>
    </row>
    <row r="289" spans="1:7">
      <c r="A289" t="s">
        <v>289</v>
      </c>
      <c r="B289" s="2">
        <v>45845</v>
      </c>
      <c r="C289" t="s">
        <v>10</v>
      </c>
      <c r="D289" t="s">
        <v>6</v>
      </c>
      <c r="E289">
        <v>109</v>
      </c>
      <c r="F289">
        <v>0</v>
      </c>
      <c r="G289" s="3">
        <v>132337.57</v>
      </c>
    </row>
    <row r="290" spans="1:7">
      <c r="A290" t="s">
        <v>290</v>
      </c>
      <c r="B290" s="2">
        <v>45712</v>
      </c>
      <c r="C290" t="s">
        <v>8</v>
      </c>
      <c r="D290" t="s">
        <v>38</v>
      </c>
      <c r="E290">
        <v>167</v>
      </c>
      <c r="F290">
        <v>4</v>
      </c>
      <c r="G290" s="3">
        <v>65924.83</v>
      </c>
    </row>
    <row r="291" spans="1:7">
      <c r="A291" t="s">
        <v>291</v>
      </c>
      <c r="B291" s="2">
        <v>45751</v>
      </c>
      <c r="C291" t="s">
        <v>8</v>
      </c>
      <c r="D291" t="s">
        <v>6</v>
      </c>
      <c r="E291">
        <v>221</v>
      </c>
      <c r="F291">
        <v>2</v>
      </c>
      <c r="G291" s="3">
        <v>230649.13</v>
      </c>
    </row>
    <row r="292" spans="1:7">
      <c r="A292" t="s">
        <v>292</v>
      </c>
      <c r="B292" s="2">
        <v>46028</v>
      </c>
      <c r="D292" t="s">
        <v>4</v>
      </c>
      <c r="E292">
        <v>59</v>
      </c>
      <c r="F292">
        <v>1</v>
      </c>
      <c r="G292" s="3">
        <v>19255.29</v>
      </c>
    </row>
    <row r="293" spans="1:7">
      <c r="A293" t="s">
        <v>293</v>
      </c>
      <c r="B293" s="2">
        <v>45820</v>
      </c>
      <c r="C293" t="s">
        <v>8</v>
      </c>
      <c r="D293" t="s">
        <v>39</v>
      </c>
      <c r="E293">
        <v>106</v>
      </c>
      <c r="F293">
        <v>3</v>
      </c>
      <c r="G293" s="3"/>
    </row>
    <row r="294" spans="1:7">
      <c r="A294" t="s">
        <v>294</v>
      </c>
      <c r="B294" s="2">
        <v>46010</v>
      </c>
      <c r="C294" t="s">
        <v>5</v>
      </c>
      <c r="D294" t="s">
        <v>38</v>
      </c>
      <c r="E294">
        <v>248</v>
      </c>
      <c r="G294" s="3">
        <v>184428.29</v>
      </c>
    </row>
    <row r="295" spans="1:7">
      <c r="A295" t="s">
        <v>295</v>
      </c>
      <c r="B295" s="2">
        <v>46125</v>
      </c>
      <c r="C295" t="s">
        <v>10</v>
      </c>
      <c r="D295" t="s">
        <v>39</v>
      </c>
      <c r="E295">
        <v>156</v>
      </c>
      <c r="F295">
        <v>0</v>
      </c>
      <c r="G295" s="3">
        <v>137599.99</v>
      </c>
    </row>
    <row r="296" spans="1:7">
      <c r="A296" t="s">
        <v>296</v>
      </c>
      <c r="B296" s="2">
        <v>45876</v>
      </c>
      <c r="C296" t="s">
        <v>5</v>
      </c>
      <c r="D296" t="s">
        <v>38</v>
      </c>
      <c r="E296">
        <v>384</v>
      </c>
      <c r="F296">
        <v>4</v>
      </c>
      <c r="G296" s="3">
        <v>189681.95</v>
      </c>
    </row>
    <row r="297" spans="1:7">
      <c r="B297" s="2">
        <v>46217</v>
      </c>
      <c r="C297" t="s">
        <v>10</v>
      </c>
      <c r="D297" t="s">
        <v>4</v>
      </c>
      <c r="E297">
        <v>311</v>
      </c>
      <c r="F297">
        <v>0</v>
      </c>
      <c r="G297" s="3">
        <v>146134.06</v>
      </c>
    </row>
    <row r="298" spans="1:7">
      <c r="A298" t="s">
        <v>297</v>
      </c>
      <c r="B298" s="2">
        <v>45791</v>
      </c>
      <c r="C298" t="s">
        <v>8</v>
      </c>
      <c r="D298" t="s">
        <v>36</v>
      </c>
      <c r="E298">
        <v>165</v>
      </c>
      <c r="F298">
        <v>1</v>
      </c>
      <c r="G298" s="3">
        <v>93330.46</v>
      </c>
    </row>
    <row r="299" spans="1:7">
      <c r="A299" t="s">
        <v>298</v>
      </c>
      <c r="B299" s="2"/>
      <c r="C299" t="s">
        <v>23</v>
      </c>
      <c r="D299" t="s">
        <v>36</v>
      </c>
      <c r="E299">
        <v>504</v>
      </c>
      <c r="F299">
        <v>0</v>
      </c>
      <c r="G299" s="3">
        <v>229164.89</v>
      </c>
    </row>
    <row r="300" spans="1:7">
      <c r="A300" t="s">
        <v>299</v>
      </c>
      <c r="B300" s="2">
        <v>45795</v>
      </c>
      <c r="C300" t="s">
        <v>23</v>
      </c>
      <c r="D300" t="s">
        <v>2</v>
      </c>
      <c r="E300">
        <v>333</v>
      </c>
      <c r="F300">
        <v>0</v>
      </c>
      <c r="G300" s="3">
        <v>163312.82</v>
      </c>
    </row>
    <row r="301" spans="1:7">
      <c r="A301" t="s">
        <v>300</v>
      </c>
      <c r="B301" s="2">
        <v>45947</v>
      </c>
      <c r="C301" t="s">
        <v>1</v>
      </c>
      <c r="D301" t="s">
        <v>2</v>
      </c>
      <c r="E301">
        <v>53</v>
      </c>
      <c r="F301">
        <v>5</v>
      </c>
      <c r="G301"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9614-3380-4697-888B-B2074592F8A8}">
  <dimension ref="A1:N293"/>
  <sheetViews>
    <sheetView tabSelected="1" topLeftCell="B1" workbookViewId="0">
      <selection activeCell="I3" sqref="I3"/>
    </sheetView>
  </sheetViews>
  <sheetFormatPr defaultRowHeight="14.5"/>
  <cols>
    <col min="1" max="1" width="17.453125" bestFit="1" customWidth="1"/>
    <col min="2" max="2" width="14" bestFit="1" customWidth="1"/>
    <col min="3" max="3" width="19.6328125" bestFit="1" customWidth="1"/>
    <col min="4" max="6" width="14.08984375" bestFit="1" customWidth="1"/>
    <col min="7" max="7" width="12.26953125" bestFit="1" customWidth="1"/>
    <col min="8" max="8" width="20.7265625" bestFit="1" customWidth="1"/>
    <col min="9" max="9" width="25.1796875" bestFit="1" customWidth="1"/>
    <col min="10" max="10" width="18.54296875" bestFit="1" customWidth="1"/>
    <col min="11" max="11" width="21.90625" bestFit="1" customWidth="1"/>
    <col min="12" max="12" width="18.54296875" bestFit="1" customWidth="1"/>
    <col min="13" max="13" width="19.6328125" bestFit="1" customWidth="1"/>
    <col min="14" max="14" width="14.7265625" bestFit="1" customWidth="1"/>
  </cols>
  <sheetData>
    <row r="1" spans="1:14">
      <c r="A1" s="5" t="s">
        <v>301</v>
      </c>
      <c r="B1" s="6" t="s">
        <v>302</v>
      </c>
      <c r="C1" s="7" t="s">
        <v>303</v>
      </c>
      <c r="D1" s="7" t="s">
        <v>304</v>
      </c>
      <c r="E1" s="8" t="s">
        <v>305</v>
      </c>
      <c r="F1" s="8" t="s">
        <v>306</v>
      </c>
      <c r="G1" s="9" t="s">
        <v>307</v>
      </c>
      <c r="H1" s="9" t="s">
        <v>361</v>
      </c>
      <c r="I1" s="8" t="s">
        <v>308</v>
      </c>
      <c r="J1" s="10" t="s">
        <v>309</v>
      </c>
      <c r="K1" s="11" t="s">
        <v>310</v>
      </c>
      <c r="L1" s="11" t="s">
        <v>311</v>
      </c>
      <c r="M1" s="11" t="s">
        <v>312</v>
      </c>
      <c r="N1" t="s">
        <v>383</v>
      </c>
    </row>
    <row r="2" spans="1:14">
      <c r="A2" t="s">
        <v>0</v>
      </c>
      <c r="B2" s="12">
        <v>46033</v>
      </c>
      <c r="C2" t="s">
        <v>1</v>
      </c>
      <c r="D2" t="s">
        <v>2</v>
      </c>
      <c r="E2">
        <v>59</v>
      </c>
      <c r="F2">
        <v>5</v>
      </c>
      <c r="G2" s="3">
        <v>33315.800000000003</v>
      </c>
      <c r="H2" s="13" t="str">
        <f t="shared" ref="H2:H65" si="0">_xlfn.IFS(G2&gt;=200000,"High",G2&gt;=100000,"Medium",G2&lt;100000,"Low")</f>
        <v>Low</v>
      </c>
      <c r="I2" s="14">
        <f ca="1">IF(OR(B2="Unknown",B2=""),"Unknown",TODAY()-B2)</f>
        <v>226</v>
      </c>
      <c r="J2" s="15" t="str">
        <f t="shared" ref="J2:J65" si="1">RIGHT(A2,4)</f>
        <v>0045</v>
      </c>
      <c r="K2">
        <f t="shared" ref="K2:K65" si="2">LEN(D2)</f>
        <v>8</v>
      </c>
      <c r="L2" t="str">
        <f t="shared" ref="L2:M65" si="3">PROPER(C2)</f>
        <v>Apartment</v>
      </c>
      <c r="M2" s="1" t="str">
        <f t="shared" si="3"/>
        <v>Hargeisa</v>
      </c>
      <c r="N2" s="1">
        <f t="shared" ref="N2:N65" si="4">IF(B2="Unknown","Unknown",YEAR(B2))</f>
        <v>2026</v>
      </c>
    </row>
    <row r="3" spans="1:14">
      <c r="A3" t="s">
        <v>3</v>
      </c>
      <c r="B3" s="12">
        <v>46142</v>
      </c>
      <c r="C3" t="s">
        <v>313</v>
      </c>
      <c r="D3" t="s">
        <v>4</v>
      </c>
      <c r="E3">
        <v>185</v>
      </c>
      <c r="F3">
        <v>1</v>
      </c>
      <c r="G3" s="3">
        <v>66750.47</v>
      </c>
      <c r="H3" s="3" t="str">
        <f t="shared" si="0"/>
        <v>Low</v>
      </c>
      <c r="I3" s="14">
        <f t="shared" ref="I3:I66" ca="1" si="5">IF(OR(B3="Unknown",B3=""),"Unknown",TODAY()-B3)</f>
        <v>117</v>
      </c>
      <c r="J3" s="15" t="str">
        <f t="shared" si="1"/>
        <v>0188</v>
      </c>
      <c r="K3">
        <f t="shared" si="2"/>
        <v>6</v>
      </c>
      <c r="L3" t="str">
        <f t="shared" si="3"/>
        <v>Unknown</v>
      </c>
      <c r="M3" s="1" t="str">
        <f t="shared" si="3"/>
        <v>Baidoa</v>
      </c>
      <c r="N3" s="1">
        <f t="shared" si="4"/>
        <v>2026</v>
      </c>
    </row>
    <row r="4" spans="1:14">
      <c r="A4" t="s">
        <v>314</v>
      </c>
      <c r="B4" s="12">
        <v>45699</v>
      </c>
      <c r="C4" t="s">
        <v>5</v>
      </c>
      <c r="D4" t="s">
        <v>6</v>
      </c>
      <c r="E4">
        <v>400</v>
      </c>
      <c r="F4">
        <v>5</v>
      </c>
      <c r="G4" s="3">
        <v>372852.18</v>
      </c>
      <c r="H4" s="3" t="str">
        <f t="shared" si="0"/>
        <v>High</v>
      </c>
      <c r="I4" s="14">
        <f t="shared" ca="1" si="5"/>
        <v>560</v>
      </c>
      <c r="J4" s="15" t="str">
        <f t="shared" si="1"/>
        <v>wn01</v>
      </c>
      <c r="K4">
        <f t="shared" si="2"/>
        <v>9</v>
      </c>
      <c r="L4" t="str">
        <f t="shared" si="3"/>
        <v>Villa</v>
      </c>
      <c r="M4" s="1" t="str">
        <f t="shared" si="3"/>
        <v>Mogadishu</v>
      </c>
      <c r="N4" s="1">
        <f t="shared" si="4"/>
        <v>2025</v>
      </c>
    </row>
    <row r="5" spans="1:14">
      <c r="A5" t="s">
        <v>7</v>
      </c>
      <c r="B5" s="12" t="s">
        <v>313</v>
      </c>
      <c r="C5" t="s">
        <v>8</v>
      </c>
      <c r="D5" t="s">
        <v>6</v>
      </c>
      <c r="E5">
        <v>284</v>
      </c>
      <c r="F5">
        <v>3</v>
      </c>
      <c r="G5" s="3">
        <v>187104.95</v>
      </c>
      <c r="H5" s="3" t="str">
        <f t="shared" si="0"/>
        <v>Medium</v>
      </c>
      <c r="I5" s="14" t="str">
        <f t="shared" ca="1" si="5"/>
        <v>Unknown</v>
      </c>
      <c r="J5" s="15" t="str">
        <f t="shared" si="1"/>
        <v>0212</v>
      </c>
      <c r="K5">
        <f t="shared" si="2"/>
        <v>9</v>
      </c>
      <c r="L5" t="str">
        <f t="shared" si="3"/>
        <v>House</v>
      </c>
      <c r="M5" s="1" t="str">
        <f t="shared" si="3"/>
        <v>Mogadishu</v>
      </c>
      <c r="N5" s="1" t="str">
        <f t="shared" si="4"/>
        <v>Unknown</v>
      </c>
    </row>
    <row r="6" spans="1:14">
      <c r="A6" t="s">
        <v>9</v>
      </c>
      <c r="B6" s="12">
        <v>46009</v>
      </c>
      <c r="C6" t="s">
        <v>10</v>
      </c>
      <c r="D6" t="s">
        <v>2</v>
      </c>
      <c r="E6">
        <v>295</v>
      </c>
      <c r="F6">
        <v>0</v>
      </c>
      <c r="G6" s="3">
        <v>283316.37</v>
      </c>
      <c r="H6" s="3" t="str">
        <f t="shared" si="0"/>
        <v>High</v>
      </c>
      <c r="I6" s="14">
        <f t="shared" ca="1" si="5"/>
        <v>250</v>
      </c>
      <c r="J6" s="15" t="str">
        <f t="shared" si="1"/>
        <v>0141</v>
      </c>
      <c r="K6">
        <f t="shared" si="2"/>
        <v>8</v>
      </c>
      <c r="L6" t="str">
        <f t="shared" si="3"/>
        <v>Commercial</v>
      </c>
      <c r="M6" s="1" t="str">
        <f t="shared" si="3"/>
        <v>Hargeisa</v>
      </c>
      <c r="N6" s="1">
        <f t="shared" si="4"/>
        <v>2025</v>
      </c>
    </row>
    <row r="7" spans="1:14">
      <c r="A7" t="s">
        <v>11</v>
      </c>
      <c r="B7" s="12">
        <v>46132</v>
      </c>
      <c r="C7" t="s">
        <v>1</v>
      </c>
      <c r="D7" t="s">
        <v>6</v>
      </c>
      <c r="E7">
        <v>295</v>
      </c>
      <c r="F7">
        <v>6</v>
      </c>
      <c r="G7" s="3">
        <v>58741.9</v>
      </c>
      <c r="H7" s="3" t="str">
        <f t="shared" si="0"/>
        <v>Low</v>
      </c>
      <c r="I7" s="14">
        <f t="shared" ca="1" si="5"/>
        <v>127</v>
      </c>
      <c r="J7" s="15" t="str">
        <f t="shared" si="1"/>
        <v>0230</v>
      </c>
      <c r="K7">
        <f t="shared" si="2"/>
        <v>9</v>
      </c>
      <c r="L7" t="str">
        <f t="shared" si="3"/>
        <v>Apartment</v>
      </c>
      <c r="M7" s="1" t="str">
        <f t="shared" si="3"/>
        <v>Mogadishu</v>
      </c>
      <c r="N7" s="1">
        <f t="shared" si="4"/>
        <v>2026</v>
      </c>
    </row>
    <row r="8" spans="1:14">
      <c r="A8" t="s">
        <v>12</v>
      </c>
      <c r="B8" s="12">
        <v>46197</v>
      </c>
      <c r="C8" t="s">
        <v>1</v>
      </c>
      <c r="D8" t="s">
        <v>4</v>
      </c>
      <c r="E8">
        <v>146</v>
      </c>
      <c r="F8">
        <v>3</v>
      </c>
      <c r="G8" s="3">
        <v>64417.58</v>
      </c>
      <c r="H8" s="3" t="str">
        <f t="shared" si="0"/>
        <v>Low</v>
      </c>
      <c r="I8" s="14">
        <f t="shared" ca="1" si="5"/>
        <v>62</v>
      </c>
      <c r="J8" s="15" t="str">
        <f t="shared" si="1"/>
        <v>0255</v>
      </c>
      <c r="K8">
        <f t="shared" si="2"/>
        <v>6</v>
      </c>
      <c r="L8" t="str">
        <f t="shared" si="3"/>
        <v>Apartment</v>
      </c>
      <c r="M8" s="1" t="str">
        <f t="shared" si="3"/>
        <v>Baidoa</v>
      </c>
      <c r="N8" s="1">
        <f t="shared" si="4"/>
        <v>2026</v>
      </c>
    </row>
    <row r="9" spans="1:14">
      <c r="A9" t="s">
        <v>13</v>
      </c>
      <c r="B9" s="12">
        <v>46168</v>
      </c>
      <c r="C9" t="s">
        <v>1</v>
      </c>
      <c r="D9" t="s">
        <v>6</v>
      </c>
      <c r="E9">
        <v>50</v>
      </c>
      <c r="F9">
        <v>3</v>
      </c>
      <c r="G9" s="3">
        <v>44214.57</v>
      </c>
      <c r="H9" s="3" t="str">
        <f t="shared" si="0"/>
        <v>Low</v>
      </c>
      <c r="I9" s="14">
        <f t="shared" ca="1" si="5"/>
        <v>91</v>
      </c>
      <c r="J9" s="15" t="str">
        <f t="shared" si="1"/>
        <v>0208</v>
      </c>
      <c r="K9">
        <f t="shared" si="2"/>
        <v>9</v>
      </c>
      <c r="L9" t="str">
        <f t="shared" si="3"/>
        <v>Apartment</v>
      </c>
      <c r="M9" s="1" t="str">
        <f t="shared" si="3"/>
        <v>Mogadishu</v>
      </c>
      <c r="N9" s="1">
        <f t="shared" si="4"/>
        <v>2026</v>
      </c>
    </row>
    <row r="10" spans="1:14">
      <c r="A10" t="s">
        <v>14</v>
      </c>
      <c r="B10" s="12">
        <v>46043</v>
      </c>
      <c r="C10" t="s">
        <v>1</v>
      </c>
      <c r="D10" t="s">
        <v>4</v>
      </c>
      <c r="E10">
        <v>56</v>
      </c>
      <c r="F10">
        <v>2</v>
      </c>
      <c r="G10" s="3">
        <v>18933.72</v>
      </c>
      <c r="H10" s="3" t="str">
        <f t="shared" si="0"/>
        <v>Low</v>
      </c>
      <c r="I10" s="14">
        <f t="shared" ca="1" si="5"/>
        <v>216</v>
      </c>
      <c r="J10" s="15" t="str">
        <f t="shared" si="1"/>
        <v>0273</v>
      </c>
      <c r="K10">
        <f t="shared" si="2"/>
        <v>6</v>
      </c>
      <c r="L10" t="str">
        <f t="shared" si="3"/>
        <v>Apartment</v>
      </c>
      <c r="M10" s="1" t="str">
        <f t="shared" si="3"/>
        <v>Baidoa</v>
      </c>
      <c r="N10" s="1">
        <f t="shared" si="4"/>
        <v>2026</v>
      </c>
    </row>
    <row r="11" spans="1:14">
      <c r="A11" t="s">
        <v>15</v>
      </c>
      <c r="B11" s="12">
        <v>45855</v>
      </c>
      <c r="C11" t="s">
        <v>10</v>
      </c>
      <c r="D11" t="s">
        <v>4</v>
      </c>
      <c r="E11">
        <v>374</v>
      </c>
      <c r="F11">
        <v>0</v>
      </c>
      <c r="G11" s="3">
        <v>167091.21</v>
      </c>
      <c r="H11" s="3" t="str">
        <f t="shared" si="0"/>
        <v>Medium</v>
      </c>
      <c r="I11" s="14">
        <f t="shared" ca="1" si="5"/>
        <v>404</v>
      </c>
      <c r="J11" s="15" t="str">
        <f t="shared" si="1"/>
        <v>0016</v>
      </c>
      <c r="K11">
        <f t="shared" si="2"/>
        <v>6</v>
      </c>
      <c r="L11" t="str">
        <f t="shared" si="3"/>
        <v>Commercial</v>
      </c>
      <c r="M11" s="1" t="str">
        <f t="shared" si="3"/>
        <v>Baidoa</v>
      </c>
      <c r="N11" s="1">
        <f t="shared" si="4"/>
        <v>2025</v>
      </c>
    </row>
    <row r="12" spans="1:14">
      <c r="A12" t="s">
        <v>16</v>
      </c>
      <c r="B12" s="12">
        <v>45982</v>
      </c>
      <c r="C12" t="s">
        <v>313</v>
      </c>
      <c r="D12" t="s">
        <v>6</v>
      </c>
      <c r="E12">
        <v>186</v>
      </c>
      <c r="F12">
        <v>4</v>
      </c>
      <c r="G12" s="3">
        <v>154685.01</v>
      </c>
      <c r="H12" s="3" t="str">
        <f t="shared" si="0"/>
        <v>Medium</v>
      </c>
      <c r="I12" s="14">
        <f t="shared" ca="1" si="5"/>
        <v>277</v>
      </c>
      <c r="J12" s="15" t="str">
        <f t="shared" si="1"/>
        <v>0062</v>
      </c>
      <c r="K12">
        <f t="shared" si="2"/>
        <v>9</v>
      </c>
      <c r="L12" t="str">
        <f t="shared" si="3"/>
        <v>Unknown</v>
      </c>
      <c r="M12" s="1" t="str">
        <f t="shared" si="3"/>
        <v>Mogadishu</v>
      </c>
      <c r="N12" s="1">
        <f t="shared" si="4"/>
        <v>2025</v>
      </c>
    </row>
    <row r="13" spans="1:14">
      <c r="A13" t="s">
        <v>17</v>
      </c>
      <c r="B13" s="12">
        <v>46108</v>
      </c>
      <c r="C13" t="s">
        <v>313</v>
      </c>
      <c r="D13" t="s">
        <v>2</v>
      </c>
      <c r="E13">
        <v>1005</v>
      </c>
      <c r="F13">
        <v>3</v>
      </c>
      <c r="G13" s="3">
        <v>380318.1</v>
      </c>
      <c r="H13" s="3" t="str">
        <f t="shared" si="0"/>
        <v>High</v>
      </c>
      <c r="I13" s="14">
        <f t="shared" ca="1" si="5"/>
        <v>151</v>
      </c>
      <c r="J13" s="15" t="str">
        <f t="shared" si="1"/>
        <v>0091</v>
      </c>
      <c r="K13">
        <f t="shared" si="2"/>
        <v>8</v>
      </c>
      <c r="L13" t="str">
        <f t="shared" si="3"/>
        <v>Unknown</v>
      </c>
      <c r="M13" s="1" t="str">
        <f t="shared" si="3"/>
        <v>Hargeisa</v>
      </c>
      <c r="N13" s="1">
        <f t="shared" si="4"/>
        <v>2026</v>
      </c>
    </row>
    <row r="14" spans="1:14">
      <c r="A14" t="s">
        <v>19</v>
      </c>
      <c r="B14" s="12">
        <v>45979</v>
      </c>
      <c r="C14" t="s">
        <v>1</v>
      </c>
      <c r="D14" t="s">
        <v>6</v>
      </c>
      <c r="E14">
        <v>135</v>
      </c>
      <c r="F14">
        <v>1</v>
      </c>
      <c r="G14" s="3">
        <v>85595.89</v>
      </c>
      <c r="H14" s="3" t="str">
        <f t="shared" si="0"/>
        <v>Low</v>
      </c>
      <c r="I14" s="14">
        <f t="shared" ca="1" si="5"/>
        <v>280</v>
      </c>
      <c r="J14" s="15" t="str">
        <f t="shared" si="1"/>
        <v>0197</v>
      </c>
      <c r="K14">
        <f t="shared" si="2"/>
        <v>9</v>
      </c>
      <c r="L14" t="str">
        <f t="shared" si="3"/>
        <v>Apartment</v>
      </c>
      <c r="M14" s="1" t="str">
        <f t="shared" si="3"/>
        <v>Mogadishu</v>
      </c>
      <c r="N14" s="1">
        <f t="shared" si="4"/>
        <v>2025</v>
      </c>
    </row>
    <row r="15" spans="1:14">
      <c r="A15" t="s">
        <v>20</v>
      </c>
      <c r="B15" s="12">
        <v>45862</v>
      </c>
      <c r="C15" t="s">
        <v>1</v>
      </c>
      <c r="D15" t="s">
        <v>2</v>
      </c>
      <c r="E15">
        <v>69</v>
      </c>
      <c r="F15">
        <v>6</v>
      </c>
      <c r="G15" s="3">
        <v>53710.9</v>
      </c>
      <c r="H15" s="3" t="str">
        <f t="shared" si="0"/>
        <v>Low</v>
      </c>
      <c r="I15" s="14">
        <f t="shared" ca="1" si="5"/>
        <v>397</v>
      </c>
      <c r="J15" s="15" t="str">
        <f t="shared" si="1"/>
        <v>0137</v>
      </c>
      <c r="K15">
        <f t="shared" si="2"/>
        <v>8</v>
      </c>
      <c r="L15" t="str">
        <f t="shared" si="3"/>
        <v>Apartment</v>
      </c>
      <c r="M15" s="1" t="str">
        <f t="shared" si="3"/>
        <v>Hargeisa</v>
      </c>
      <c r="N15" s="1">
        <f t="shared" si="4"/>
        <v>2025</v>
      </c>
    </row>
    <row r="16" spans="1:14">
      <c r="A16" t="s">
        <v>315</v>
      </c>
      <c r="B16" s="12">
        <v>45820</v>
      </c>
      <c r="C16" t="s">
        <v>1</v>
      </c>
      <c r="D16" t="s">
        <v>6</v>
      </c>
      <c r="E16">
        <v>153</v>
      </c>
      <c r="F16">
        <v>5</v>
      </c>
      <c r="G16" s="3">
        <v>94612.52</v>
      </c>
      <c r="H16" s="3" t="str">
        <f t="shared" si="0"/>
        <v>Low</v>
      </c>
      <c r="I16" s="14">
        <f t="shared" ca="1" si="5"/>
        <v>439</v>
      </c>
      <c r="J16" s="15" t="str">
        <f t="shared" si="1"/>
        <v>wn02</v>
      </c>
      <c r="K16">
        <f t="shared" si="2"/>
        <v>9</v>
      </c>
      <c r="L16" t="str">
        <f t="shared" si="3"/>
        <v>Apartment</v>
      </c>
      <c r="M16" s="1" t="str">
        <f t="shared" si="3"/>
        <v>Mogadishu</v>
      </c>
      <c r="N16" s="1">
        <f t="shared" si="4"/>
        <v>2025</v>
      </c>
    </row>
    <row r="17" spans="1:14">
      <c r="A17" t="s">
        <v>21</v>
      </c>
      <c r="B17" s="12">
        <v>46038</v>
      </c>
      <c r="C17" t="s">
        <v>1</v>
      </c>
      <c r="D17" t="s">
        <v>6</v>
      </c>
      <c r="E17">
        <v>84</v>
      </c>
      <c r="F17">
        <v>4</v>
      </c>
      <c r="G17" s="3">
        <v>69993.850000000006</v>
      </c>
      <c r="H17" s="3" t="str">
        <f t="shared" si="0"/>
        <v>Low</v>
      </c>
      <c r="I17" s="14">
        <f t="shared" ca="1" si="5"/>
        <v>221</v>
      </c>
      <c r="J17" s="15" t="str">
        <f t="shared" si="1"/>
        <v>0168</v>
      </c>
      <c r="K17">
        <f t="shared" si="2"/>
        <v>9</v>
      </c>
      <c r="L17" t="str">
        <f t="shared" si="3"/>
        <v>Apartment</v>
      </c>
      <c r="M17" s="1" t="str">
        <f t="shared" si="3"/>
        <v>Mogadishu</v>
      </c>
      <c r="N17" s="1">
        <f t="shared" si="4"/>
        <v>2026</v>
      </c>
    </row>
    <row r="18" spans="1:14">
      <c r="A18" t="s">
        <v>22</v>
      </c>
      <c r="B18" s="12">
        <v>45662</v>
      </c>
      <c r="C18" t="s">
        <v>23</v>
      </c>
      <c r="D18" t="s">
        <v>4</v>
      </c>
      <c r="E18">
        <v>540</v>
      </c>
      <c r="F18">
        <v>0</v>
      </c>
      <c r="G18" s="3">
        <v>175133.17</v>
      </c>
      <c r="H18" s="3" t="str">
        <f t="shared" si="0"/>
        <v>Medium</v>
      </c>
      <c r="I18" s="14">
        <f t="shared" ca="1" si="5"/>
        <v>597</v>
      </c>
      <c r="J18" s="15" t="str">
        <f t="shared" si="1"/>
        <v>0025</v>
      </c>
      <c r="K18">
        <f t="shared" si="2"/>
        <v>6</v>
      </c>
      <c r="L18" t="str">
        <f t="shared" si="3"/>
        <v>Land</v>
      </c>
      <c r="M18" s="1" t="str">
        <f t="shared" si="3"/>
        <v>Baidoa</v>
      </c>
      <c r="N18" s="1">
        <f t="shared" si="4"/>
        <v>2025</v>
      </c>
    </row>
    <row r="19" spans="1:14">
      <c r="A19" t="s">
        <v>24</v>
      </c>
      <c r="B19" s="12">
        <v>46195</v>
      </c>
      <c r="C19" t="s">
        <v>8</v>
      </c>
      <c r="D19" t="s">
        <v>6</v>
      </c>
      <c r="E19">
        <v>124</v>
      </c>
      <c r="F19">
        <v>6</v>
      </c>
      <c r="G19" s="3">
        <v>87390.52</v>
      </c>
      <c r="H19" s="3" t="str">
        <f t="shared" si="0"/>
        <v>Low</v>
      </c>
      <c r="I19" s="14">
        <f t="shared" ca="1" si="5"/>
        <v>64</v>
      </c>
      <c r="J19" s="15" t="str">
        <f t="shared" si="1"/>
        <v>0118</v>
      </c>
      <c r="K19">
        <f t="shared" si="2"/>
        <v>9</v>
      </c>
      <c r="L19" t="str">
        <f t="shared" si="3"/>
        <v>House</v>
      </c>
      <c r="M19" s="1" t="str">
        <f t="shared" si="3"/>
        <v>Mogadishu</v>
      </c>
      <c r="N19" s="1">
        <f t="shared" si="4"/>
        <v>2026</v>
      </c>
    </row>
    <row r="20" spans="1:14">
      <c r="A20" t="s">
        <v>25</v>
      </c>
      <c r="B20" s="12" t="s">
        <v>313</v>
      </c>
      <c r="C20" t="s">
        <v>1</v>
      </c>
      <c r="D20" t="s">
        <v>6</v>
      </c>
      <c r="E20">
        <v>106</v>
      </c>
      <c r="F20">
        <v>4</v>
      </c>
      <c r="G20" s="3">
        <v>97362.81</v>
      </c>
      <c r="H20" s="3" t="str">
        <f t="shared" si="0"/>
        <v>Low</v>
      </c>
      <c r="I20" s="14" t="str">
        <f t="shared" ca="1" si="5"/>
        <v>Unknown</v>
      </c>
      <c r="J20" s="15" t="str">
        <f t="shared" si="1"/>
        <v>0276</v>
      </c>
      <c r="K20">
        <f t="shared" si="2"/>
        <v>9</v>
      </c>
      <c r="L20" t="str">
        <f t="shared" si="3"/>
        <v>Apartment</v>
      </c>
      <c r="M20" s="1" t="str">
        <f t="shared" si="3"/>
        <v>Mogadishu</v>
      </c>
      <c r="N20" s="1" t="str">
        <f t="shared" si="4"/>
        <v>Unknown</v>
      </c>
    </row>
    <row r="21" spans="1:14">
      <c r="A21" t="s">
        <v>26</v>
      </c>
      <c r="B21" s="12">
        <v>46127</v>
      </c>
      <c r="C21" t="s">
        <v>1</v>
      </c>
      <c r="D21" t="s">
        <v>6</v>
      </c>
      <c r="E21">
        <v>78</v>
      </c>
      <c r="F21">
        <v>4</v>
      </c>
      <c r="G21" s="3">
        <v>59333.36</v>
      </c>
      <c r="H21" s="3" t="str">
        <f t="shared" si="0"/>
        <v>Low</v>
      </c>
      <c r="I21" s="14">
        <f t="shared" ca="1" si="5"/>
        <v>132</v>
      </c>
      <c r="J21" s="15" t="str">
        <f t="shared" si="1"/>
        <v>0149</v>
      </c>
      <c r="K21">
        <f t="shared" si="2"/>
        <v>9</v>
      </c>
      <c r="L21" t="str">
        <f t="shared" si="3"/>
        <v>Apartment</v>
      </c>
      <c r="M21" s="1" t="str">
        <f t="shared" si="3"/>
        <v>Mogadishu</v>
      </c>
      <c r="N21" s="1">
        <f t="shared" si="4"/>
        <v>2026</v>
      </c>
    </row>
    <row r="22" spans="1:14">
      <c r="A22" t="s">
        <v>27</v>
      </c>
      <c r="B22" s="12">
        <v>45707</v>
      </c>
      <c r="C22" t="s">
        <v>1</v>
      </c>
      <c r="D22" t="s">
        <v>2</v>
      </c>
      <c r="E22">
        <v>86</v>
      </c>
      <c r="F22">
        <v>6</v>
      </c>
      <c r="G22" s="3">
        <v>61674.83</v>
      </c>
      <c r="H22" s="3" t="str">
        <f t="shared" si="0"/>
        <v>Low</v>
      </c>
      <c r="I22" s="14">
        <f t="shared" ca="1" si="5"/>
        <v>552</v>
      </c>
      <c r="J22" s="15" t="str">
        <f t="shared" si="1"/>
        <v>0223</v>
      </c>
      <c r="K22">
        <f t="shared" si="2"/>
        <v>8</v>
      </c>
      <c r="L22" t="str">
        <f t="shared" si="3"/>
        <v>Apartment</v>
      </c>
      <c r="M22" s="1" t="str">
        <f t="shared" si="3"/>
        <v>Hargeisa</v>
      </c>
      <c r="N22" s="1">
        <f t="shared" si="4"/>
        <v>2025</v>
      </c>
    </row>
    <row r="23" spans="1:14">
      <c r="A23" t="s">
        <v>28</v>
      </c>
      <c r="B23" s="12">
        <v>45851</v>
      </c>
      <c r="C23" t="s">
        <v>23</v>
      </c>
      <c r="D23" t="s">
        <v>6</v>
      </c>
      <c r="E23">
        <v>813</v>
      </c>
      <c r="F23">
        <v>0</v>
      </c>
      <c r="G23" s="3">
        <v>505246.4</v>
      </c>
      <c r="H23" s="3" t="str">
        <f t="shared" si="0"/>
        <v>High</v>
      </c>
      <c r="I23" s="14">
        <f t="shared" ca="1" si="5"/>
        <v>408</v>
      </c>
      <c r="J23" s="15" t="str">
        <f t="shared" si="1"/>
        <v>0159</v>
      </c>
      <c r="K23">
        <f t="shared" si="2"/>
        <v>9</v>
      </c>
      <c r="L23" t="str">
        <f t="shared" si="3"/>
        <v>Land</v>
      </c>
      <c r="M23" s="1" t="str">
        <f t="shared" si="3"/>
        <v>Mogadishu</v>
      </c>
      <c r="N23" s="1">
        <f t="shared" si="4"/>
        <v>2025</v>
      </c>
    </row>
    <row r="24" spans="1:14">
      <c r="A24" t="s">
        <v>29</v>
      </c>
      <c r="B24" s="12" t="s">
        <v>313</v>
      </c>
      <c r="C24" t="s">
        <v>10</v>
      </c>
      <c r="D24" t="s">
        <v>6</v>
      </c>
      <c r="E24">
        <v>82</v>
      </c>
      <c r="F24">
        <v>0</v>
      </c>
      <c r="G24" s="3">
        <v>178260.23</v>
      </c>
      <c r="H24" s="3" t="str">
        <f t="shared" si="0"/>
        <v>Medium</v>
      </c>
      <c r="I24" s="14" t="str">
        <f t="shared" ca="1" si="5"/>
        <v>Unknown</v>
      </c>
      <c r="J24" s="15" t="str">
        <f t="shared" si="1"/>
        <v>0287</v>
      </c>
      <c r="K24">
        <f t="shared" si="2"/>
        <v>9</v>
      </c>
      <c r="L24" t="str">
        <f t="shared" si="3"/>
        <v>Commercial</v>
      </c>
      <c r="M24" s="1" t="str">
        <f t="shared" si="3"/>
        <v>Mogadishu</v>
      </c>
      <c r="N24" s="1" t="str">
        <f t="shared" si="4"/>
        <v>Unknown</v>
      </c>
    </row>
    <row r="25" spans="1:14">
      <c r="A25" t="s">
        <v>31</v>
      </c>
      <c r="B25" s="12">
        <v>45756</v>
      </c>
      <c r="C25" t="s">
        <v>8</v>
      </c>
      <c r="D25" t="s">
        <v>2</v>
      </c>
      <c r="E25">
        <v>295</v>
      </c>
      <c r="F25">
        <v>3</v>
      </c>
      <c r="G25" s="3">
        <v>109022.54</v>
      </c>
      <c r="H25" s="3" t="str">
        <f t="shared" si="0"/>
        <v>Medium</v>
      </c>
      <c r="I25" s="14">
        <f t="shared" ca="1" si="5"/>
        <v>503</v>
      </c>
      <c r="J25" s="15" t="str">
        <f t="shared" si="1"/>
        <v>0122</v>
      </c>
      <c r="K25">
        <f t="shared" si="2"/>
        <v>8</v>
      </c>
      <c r="L25" t="str">
        <f t="shared" si="3"/>
        <v>House</v>
      </c>
      <c r="M25" s="1" t="str">
        <f t="shared" si="3"/>
        <v>Hargeisa</v>
      </c>
      <c r="N25" s="1">
        <f t="shared" si="4"/>
        <v>2025</v>
      </c>
    </row>
    <row r="26" spans="1:14">
      <c r="A26" t="s">
        <v>32</v>
      </c>
      <c r="B26" s="12">
        <v>45929</v>
      </c>
      <c r="C26" t="s">
        <v>8</v>
      </c>
      <c r="D26" t="s">
        <v>6</v>
      </c>
      <c r="E26">
        <v>126</v>
      </c>
      <c r="F26">
        <v>2</v>
      </c>
      <c r="G26" s="3">
        <v>80684.990000000005</v>
      </c>
      <c r="H26" s="3" t="str">
        <f t="shared" si="0"/>
        <v>Low</v>
      </c>
      <c r="I26" s="14">
        <f t="shared" ca="1" si="5"/>
        <v>330</v>
      </c>
      <c r="J26" s="15" t="str">
        <f t="shared" si="1"/>
        <v>0267</v>
      </c>
      <c r="K26">
        <f t="shared" si="2"/>
        <v>9</v>
      </c>
      <c r="L26" t="str">
        <f t="shared" si="3"/>
        <v>House</v>
      </c>
      <c r="M26" s="1" t="str">
        <f t="shared" si="3"/>
        <v>Mogadishu</v>
      </c>
      <c r="N26" s="1">
        <f t="shared" si="4"/>
        <v>2025</v>
      </c>
    </row>
    <row r="27" spans="1:14">
      <c r="A27" t="s">
        <v>33</v>
      </c>
      <c r="B27" s="12">
        <v>46017</v>
      </c>
      <c r="C27" t="s">
        <v>23</v>
      </c>
      <c r="D27" t="s">
        <v>39</v>
      </c>
      <c r="E27">
        <v>1131</v>
      </c>
      <c r="F27">
        <v>0</v>
      </c>
      <c r="G27" s="3">
        <v>436421.06</v>
      </c>
      <c r="H27" s="3" t="str">
        <f t="shared" si="0"/>
        <v>High</v>
      </c>
      <c r="I27" s="14">
        <f t="shared" ca="1" si="5"/>
        <v>242</v>
      </c>
      <c r="J27" s="15" t="str">
        <f t="shared" si="1"/>
        <v>0169</v>
      </c>
      <c r="K27">
        <f t="shared" si="2"/>
        <v>6</v>
      </c>
      <c r="L27" t="str">
        <f t="shared" si="3"/>
        <v>Land</v>
      </c>
      <c r="M27" s="1" t="str">
        <f t="shared" si="3"/>
        <v>Garowe</v>
      </c>
      <c r="N27" s="1">
        <f t="shared" si="4"/>
        <v>2025</v>
      </c>
    </row>
    <row r="28" spans="1:14">
      <c r="A28" t="s">
        <v>35</v>
      </c>
      <c r="B28" s="12">
        <v>46055</v>
      </c>
      <c r="C28" t="s">
        <v>5</v>
      </c>
      <c r="D28" t="s">
        <v>36</v>
      </c>
      <c r="E28">
        <v>241</v>
      </c>
      <c r="F28">
        <v>5</v>
      </c>
      <c r="G28" s="3">
        <v>205954.15</v>
      </c>
      <c r="H28" s="3" t="str">
        <f t="shared" si="0"/>
        <v>High</v>
      </c>
      <c r="I28" s="14">
        <f t="shared" ca="1" si="5"/>
        <v>204</v>
      </c>
      <c r="J28" s="15" t="str">
        <f t="shared" si="1"/>
        <v>0245</v>
      </c>
      <c r="K28">
        <f t="shared" si="2"/>
        <v>6</v>
      </c>
      <c r="L28" t="str">
        <f t="shared" si="3"/>
        <v>Villa</v>
      </c>
      <c r="M28" s="1" t="str">
        <f t="shared" si="3"/>
        <v>Bosaso</v>
      </c>
      <c r="N28" s="1">
        <f t="shared" si="4"/>
        <v>2026</v>
      </c>
    </row>
    <row r="29" spans="1:14">
      <c r="A29" t="s">
        <v>37</v>
      </c>
      <c r="B29" s="12">
        <v>45999</v>
      </c>
      <c r="C29" t="s">
        <v>1</v>
      </c>
      <c r="D29" t="s">
        <v>38</v>
      </c>
      <c r="E29">
        <v>165</v>
      </c>
      <c r="F29">
        <v>3</v>
      </c>
      <c r="G29" s="3">
        <v>71013.350000000006</v>
      </c>
      <c r="H29" s="3" t="str">
        <f t="shared" si="0"/>
        <v>Low</v>
      </c>
      <c r="I29" s="14">
        <f t="shared" ca="1" si="5"/>
        <v>260</v>
      </c>
      <c r="J29" s="15" t="str">
        <f t="shared" si="1"/>
        <v>0112</v>
      </c>
      <c r="K29">
        <f t="shared" si="2"/>
        <v>7</v>
      </c>
      <c r="L29" t="str">
        <f t="shared" si="3"/>
        <v>Apartment</v>
      </c>
      <c r="M29" s="1" t="str">
        <f t="shared" si="3"/>
        <v>Kismayo</v>
      </c>
      <c r="N29" s="1">
        <f t="shared" si="4"/>
        <v>2025</v>
      </c>
    </row>
    <row r="30" spans="1:14">
      <c r="A30" t="s">
        <v>316</v>
      </c>
      <c r="B30" s="12">
        <v>46107</v>
      </c>
      <c r="C30" t="s">
        <v>5</v>
      </c>
      <c r="D30" t="s">
        <v>39</v>
      </c>
      <c r="E30">
        <v>246</v>
      </c>
      <c r="F30">
        <v>4</v>
      </c>
      <c r="G30" s="3">
        <v>189700.22</v>
      </c>
      <c r="H30" s="3" t="str">
        <f t="shared" si="0"/>
        <v>Medium</v>
      </c>
      <c r="I30" s="14">
        <f t="shared" ca="1" si="5"/>
        <v>152</v>
      </c>
      <c r="J30" s="15" t="str">
        <f t="shared" si="1"/>
        <v>wn03</v>
      </c>
      <c r="K30">
        <f t="shared" si="2"/>
        <v>6</v>
      </c>
      <c r="L30" t="str">
        <f t="shared" si="3"/>
        <v>Villa</v>
      </c>
      <c r="M30" s="1" t="str">
        <f t="shared" si="3"/>
        <v>Garowe</v>
      </c>
      <c r="N30" s="1">
        <f t="shared" si="4"/>
        <v>2026</v>
      </c>
    </row>
    <row r="31" spans="1:14">
      <c r="A31" t="s">
        <v>40</v>
      </c>
      <c r="B31" s="12">
        <v>46157</v>
      </c>
      <c r="C31" t="s">
        <v>8</v>
      </c>
      <c r="D31" t="s">
        <v>38</v>
      </c>
      <c r="E31">
        <v>269</v>
      </c>
      <c r="F31">
        <v>5</v>
      </c>
      <c r="G31" s="3">
        <v>117783.73</v>
      </c>
      <c r="H31" s="3" t="str">
        <f t="shared" si="0"/>
        <v>Medium</v>
      </c>
      <c r="I31" s="14">
        <f t="shared" ca="1" si="5"/>
        <v>102</v>
      </c>
      <c r="J31" s="15" t="str">
        <f t="shared" si="1"/>
        <v>0003</v>
      </c>
      <c r="K31">
        <f t="shared" si="2"/>
        <v>7</v>
      </c>
      <c r="L31" t="str">
        <f t="shared" si="3"/>
        <v>House</v>
      </c>
      <c r="M31" s="1" t="str">
        <f t="shared" si="3"/>
        <v>Kismayo</v>
      </c>
      <c r="N31" s="1">
        <f t="shared" si="4"/>
        <v>2026</v>
      </c>
    </row>
    <row r="32" spans="1:14">
      <c r="A32" t="s">
        <v>41</v>
      </c>
      <c r="B32" s="12">
        <v>45822</v>
      </c>
      <c r="C32" t="s">
        <v>5</v>
      </c>
      <c r="D32" t="s">
        <v>6</v>
      </c>
      <c r="E32">
        <v>428</v>
      </c>
      <c r="F32">
        <v>4</v>
      </c>
      <c r="G32" s="3">
        <v>423951.96</v>
      </c>
      <c r="H32" s="3" t="str">
        <f t="shared" si="0"/>
        <v>High</v>
      </c>
      <c r="I32" s="14">
        <f t="shared" ca="1" si="5"/>
        <v>437</v>
      </c>
      <c r="J32" s="15" t="str">
        <f t="shared" si="1"/>
        <v>0177</v>
      </c>
      <c r="K32">
        <f t="shared" si="2"/>
        <v>9</v>
      </c>
      <c r="L32" t="str">
        <f t="shared" si="3"/>
        <v>Villa</v>
      </c>
      <c r="M32" s="1" t="str">
        <f t="shared" si="3"/>
        <v>Mogadishu</v>
      </c>
      <c r="N32" s="1">
        <f t="shared" si="4"/>
        <v>2025</v>
      </c>
    </row>
    <row r="33" spans="1:14">
      <c r="A33" t="s">
        <v>42</v>
      </c>
      <c r="B33" s="12">
        <v>46130</v>
      </c>
      <c r="C33" t="s">
        <v>8</v>
      </c>
      <c r="D33" t="s">
        <v>36</v>
      </c>
      <c r="E33">
        <v>118</v>
      </c>
      <c r="F33">
        <v>2</v>
      </c>
      <c r="G33" s="3">
        <v>64706.06</v>
      </c>
      <c r="H33" s="3" t="str">
        <f t="shared" si="0"/>
        <v>Low</v>
      </c>
      <c r="I33" s="14">
        <f t="shared" ca="1" si="5"/>
        <v>129</v>
      </c>
      <c r="J33" s="15" t="str">
        <f t="shared" si="1"/>
        <v>0081</v>
      </c>
      <c r="K33">
        <f t="shared" si="2"/>
        <v>6</v>
      </c>
      <c r="L33" t="str">
        <f t="shared" si="3"/>
        <v>House</v>
      </c>
      <c r="M33" s="1" t="str">
        <f t="shared" si="3"/>
        <v>Bosaso</v>
      </c>
      <c r="N33" s="1">
        <f t="shared" si="4"/>
        <v>2026</v>
      </c>
    </row>
    <row r="34" spans="1:14">
      <c r="A34" t="s">
        <v>43</v>
      </c>
      <c r="B34" s="12">
        <v>46187</v>
      </c>
      <c r="C34" t="s">
        <v>313</v>
      </c>
      <c r="D34" t="s">
        <v>36</v>
      </c>
      <c r="E34">
        <v>375</v>
      </c>
      <c r="F34">
        <v>0</v>
      </c>
      <c r="G34" s="3">
        <v>360319.2</v>
      </c>
      <c r="H34" s="3" t="str">
        <f t="shared" si="0"/>
        <v>High</v>
      </c>
      <c r="I34" s="14">
        <f t="shared" ca="1" si="5"/>
        <v>72</v>
      </c>
      <c r="J34" s="15" t="str">
        <f t="shared" si="1"/>
        <v>0018</v>
      </c>
      <c r="K34">
        <f t="shared" si="2"/>
        <v>6</v>
      </c>
      <c r="L34" t="str">
        <f t="shared" si="3"/>
        <v>Unknown</v>
      </c>
      <c r="M34" s="1" t="str">
        <f t="shared" si="3"/>
        <v>Bosaso</v>
      </c>
      <c r="N34" s="1">
        <f t="shared" si="4"/>
        <v>2026</v>
      </c>
    </row>
    <row r="35" spans="1:14">
      <c r="A35" t="s">
        <v>44</v>
      </c>
      <c r="B35" s="12">
        <v>46216</v>
      </c>
      <c r="C35" t="s">
        <v>23</v>
      </c>
      <c r="D35" t="s">
        <v>4</v>
      </c>
      <c r="E35">
        <v>295</v>
      </c>
      <c r="F35">
        <v>0</v>
      </c>
      <c r="G35" s="3">
        <v>258143.66</v>
      </c>
      <c r="H35" s="3" t="str">
        <f t="shared" si="0"/>
        <v>High</v>
      </c>
      <c r="I35" s="14">
        <f t="shared" ca="1" si="5"/>
        <v>43</v>
      </c>
      <c r="J35" s="15" t="str">
        <f t="shared" si="1"/>
        <v>0187</v>
      </c>
      <c r="K35">
        <f t="shared" si="2"/>
        <v>6</v>
      </c>
      <c r="L35" t="str">
        <f t="shared" si="3"/>
        <v>Land</v>
      </c>
      <c r="M35" s="1" t="str">
        <f t="shared" si="3"/>
        <v>Baidoa</v>
      </c>
      <c r="N35" s="1">
        <f t="shared" si="4"/>
        <v>2026</v>
      </c>
    </row>
    <row r="36" spans="1:14">
      <c r="A36" t="s">
        <v>45</v>
      </c>
      <c r="B36" s="12">
        <v>45865</v>
      </c>
      <c r="C36" t="s">
        <v>8</v>
      </c>
      <c r="D36" t="s">
        <v>2</v>
      </c>
      <c r="E36">
        <v>91</v>
      </c>
      <c r="F36">
        <v>2</v>
      </c>
      <c r="G36" s="3">
        <v>67703.179999999993</v>
      </c>
      <c r="H36" s="3" t="str">
        <f t="shared" si="0"/>
        <v>Low</v>
      </c>
      <c r="I36" s="14">
        <f t="shared" ca="1" si="5"/>
        <v>394</v>
      </c>
      <c r="J36" s="15" t="str">
        <f t="shared" si="1"/>
        <v>0269</v>
      </c>
      <c r="K36">
        <f t="shared" si="2"/>
        <v>8</v>
      </c>
      <c r="L36" t="str">
        <f t="shared" si="3"/>
        <v>House</v>
      </c>
      <c r="M36" s="1" t="str">
        <f t="shared" si="3"/>
        <v>Hargeisa</v>
      </c>
      <c r="N36" s="1">
        <f t="shared" si="4"/>
        <v>2025</v>
      </c>
    </row>
    <row r="37" spans="1:14">
      <c r="A37" t="s">
        <v>46</v>
      </c>
      <c r="B37" s="12">
        <v>46225</v>
      </c>
      <c r="C37" t="s">
        <v>5</v>
      </c>
      <c r="D37" t="s">
        <v>2</v>
      </c>
      <c r="E37">
        <v>432</v>
      </c>
      <c r="F37">
        <v>1</v>
      </c>
      <c r="G37" s="3">
        <v>178260.23</v>
      </c>
      <c r="H37" s="3" t="str">
        <f t="shared" si="0"/>
        <v>Medium</v>
      </c>
      <c r="I37" s="14">
        <f t="shared" ca="1" si="5"/>
        <v>34</v>
      </c>
      <c r="J37" s="15" t="str">
        <f t="shared" si="1"/>
        <v>0072</v>
      </c>
      <c r="K37">
        <f t="shared" si="2"/>
        <v>8</v>
      </c>
      <c r="L37" t="str">
        <f t="shared" si="3"/>
        <v>Villa</v>
      </c>
      <c r="M37" s="1" t="str">
        <f t="shared" si="3"/>
        <v>Hargeisa</v>
      </c>
      <c r="N37" s="1">
        <f t="shared" si="4"/>
        <v>2026</v>
      </c>
    </row>
    <row r="38" spans="1:14">
      <c r="A38" t="s">
        <v>47</v>
      </c>
      <c r="B38" s="12">
        <v>45844</v>
      </c>
      <c r="C38" t="s">
        <v>8</v>
      </c>
      <c r="D38" t="s">
        <v>313</v>
      </c>
      <c r="E38">
        <v>233</v>
      </c>
      <c r="F38">
        <v>4</v>
      </c>
      <c r="G38" s="3">
        <v>204504.39</v>
      </c>
      <c r="H38" s="3" t="str">
        <f t="shared" si="0"/>
        <v>High</v>
      </c>
      <c r="I38" s="14">
        <f t="shared" ca="1" si="5"/>
        <v>415</v>
      </c>
      <c r="J38" s="15" t="str">
        <f t="shared" si="1"/>
        <v>0196</v>
      </c>
      <c r="K38">
        <f t="shared" si="2"/>
        <v>7</v>
      </c>
      <c r="L38" t="str">
        <f t="shared" si="3"/>
        <v>House</v>
      </c>
      <c r="M38" s="1" t="str">
        <f t="shared" si="3"/>
        <v>Unknown</v>
      </c>
      <c r="N38" s="1">
        <f t="shared" si="4"/>
        <v>2025</v>
      </c>
    </row>
    <row r="39" spans="1:14">
      <c r="A39" t="s">
        <v>48</v>
      </c>
      <c r="B39" s="12">
        <v>45711</v>
      </c>
      <c r="C39" t="s">
        <v>10</v>
      </c>
      <c r="D39" t="s">
        <v>4</v>
      </c>
      <c r="E39">
        <v>295</v>
      </c>
      <c r="F39">
        <v>0</v>
      </c>
      <c r="G39" s="3">
        <v>299493.28000000003</v>
      </c>
      <c r="H39" s="3" t="str">
        <f t="shared" si="0"/>
        <v>High</v>
      </c>
      <c r="I39" s="14">
        <f t="shared" ca="1" si="5"/>
        <v>548</v>
      </c>
      <c r="J39" s="15" t="str">
        <f t="shared" si="1"/>
        <v>0155</v>
      </c>
      <c r="K39">
        <f t="shared" si="2"/>
        <v>6</v>
      </c>
      <c r="L39" t="str">
        <f t="shared" si="3"/>
        <v>Commercial</v>
      </c>
      <c r="M39" s="1" t="str">
        <f t="shared" si="3"/>
        <v>Baidoa</v>
      </c>
      <c r="N39" s="1">
        <f t="shared" si="4"/>
        <v>2025</v>
      </c>
    </row>
    <row r="40" spans="1:14">
      <c r="A40" t="s">
        <v>49</v>
      </c>
      <c r="B40" s="12">
        <v>45974</v>
      </c>
      <c r="C40" t="s">
        <v>10</v>
      </c>
      <c r="D40" t="s">
        <v>4</v>
      </c>
      <c r="E40">
        <v>428</v>
      </c>
      <c r="F40">
        <v>0</v>
      </c>
      <c r="G40" s="3">
        <v>244310.76</v>
      </c>
      <c r="H40" s="3" t="str">
        <f t="shared" si="0"/>
        <v>High</v>
      </c>
      <c r="I40" s="14">
        <f t="shared" ca="1" si="5"/>
        <v>285</v>
      </c>
      <c r="J40" s="15" t="str">
        <f t="shared" si="1"/>
        <v>0277</v>
      </c>
      <c r="K40">
        <f t="shared" si="2"/>
        <v>6</v>
      </c>
      <c r="L40" t="str">
        <f t="shared" si="3"/>
        <v>Commercial</v>
      </c>
      <c r="M40" s="1" t="str">
        <f t="shared" si="3"/>
        <v>Baidoa</v>
      </c>
      <c r="N40" s="1">
        <f t="shared" si="4"/>
        <v>2025</v>
      </c>
    </row>
    <row r="41" spans="1:14">
      <c r="A41" t="s">
        <v>50</v>
      </c>
      <c r="B41" s="12">
        <v>45751</v>
      </c>
      <c r="C41" t="s">
        <v>313</v>
      </c>
      <c r="D41" t="s">
        <v>2</v>
      </c>
      <c r="E41">
        <v>160</v>
      </c>
      <c r="F41">
        <v>1</v>
      </c>
      <c r="G41" s="3">
        <v>90180.06</v>
      </c>
      <c r="H41" s="3" t="str">
        <f t="shared" si="0"/>
        <v>Low</v>
      </c>
      <c r="I41" s="14">
        <f t="shared" ca="1" si="5"/>
        <v>508</v>
      </c>
      <c r="J41" s="15" t="str">
        <f t="shared" si="1"/>
        <v>0214</v>
      </c>
      <c r="K41">
        <f t="shared" si="2"/>
        <v>8</v>
      </c>
      <c r="L41" t="str">
        <f t="shared" si="3"/>
        <v>Unknown</v>
      </c>
      <c r="M41" s="1" t="str">
        <f t="shared" si="3"/>
        <v>Hargeisa</v>
      </c>
      <c r="N41" s="1">
        <f t="shared" si="4"/>
        <v>2025</v>
      </c>
    </row>
    <row r="42" spans="1:14">
      <c r="A42" t="s">
        <v>52</v>
      </c>
      <c r="B42" s="12">
        <v>46197</v>
      </c>
      <c r="C42" t="s">
        <v>1</v>
      </c>
      <c r="D42" t="s">
        <v>6</v>
      </c>
      <c r="E42">
        <v>107</v>
      </c>
      <c r="F42">
        <v>5</v>
      </c>
      <c r="G42" s="3">
        <v>99170.67</v>
      </c>
      <c r="H42" s="3" t="str">
        <f t="shared" si="0"/>
        <v>Low</v>
      </c>
      <c r="I42" s="14">
        <f t="shared" ca="1" si="5"/>
        <v>62</v>
      </c>
      <c r="J42" s="15" t="str">
        <f t="shared" si="1"/>
        <v>0220</v>
      </c>
      <c r="K42">
        <f t="shared" si="2"/>
        <v>9</v>
      </c>
      <c r="L42" t="str">
        <f t="shared" si="3"/>
        <v>Apartment</v>
      </c>
      <c r="M42" s="1" t="str">
        <f t="shared" si="3"/>
        <v>Mogadishu</v>
      </c>
      <c r="N42" s="1">
        <f t="shared" si="4"/>
        <v>2026</v>
      </c>
    </row>
    <row r="43" spans="1:14">
      <c r="A43" t="s">
        <v>53</v>
      </c>
      <c r="B43" s="12">
        <v>45987</v>
      </c>
      <c r="C43" t="s">
        <v>1</v>
      </c>
      <c r="D43" t="s">
        <v>2</v>
      </c>
      <c r="E43">
        <v>127</v>
      </c>
      <c r="F43">
        <v>3</v>
      </c>
      <c r="G43" s="3">
        <v>86128.1</v>
      </c>
      <c r="H43" s="3" t="str">
        <f t="shared" si="0"/>
        <v>Low</v>
      </c>
      <c r="I43" s="14">
        <f t="shared" ca="1" si="5"/>
        <v>272</v>
      </c>
      <c r="J43" s="15" t="str">
        <f t="shared" si="1"/>
        <v>0265</v>
      </c>
      <c r="K43">
        <f t="shared" si="2"/>
        <v>8</v>
      </c>
      <c r="L43" t="str">
        <f t="shared" si="3"/>
        <v>Apartment</v>
      </c>
      <c r="M43" s="1" t="str">
        <f t="shared" si="3"/>
        <v>Hargeisa</v>
      </c>
      <c r="N43" s="1">
        <f t="shared" si="4"/>
        <v>2025</v>
      </c>
    </row>
    <row r="44" spans="1:14">
      <c r="A44" t="s">
        <v>54</v>
      </c>
      <c r="B44" s="12">
        <v>46023</v>
      </c>
      <c r="C44" t="s">
        <v>8</v>
      </c>
      <c r="D44" t="s">
        <v>2</v>
      </c>
      <c r="E44">
        <v>180</v>
      </c>
      <c r="F44">
        <v>4</v>
      </c>
      <c r="G44" s="3">
        <v>134013.76999999999</v>
      </c>
      <c r="H44" s="3" t="str">
        <f t="shared" si="0"/>
        <v>Medium</v>
      </c>
      <c r="I44" s="14">
        <f t="shared" ca="1" si="5"/>
        <v>236</v>
      </c>
      <c r="J44" s="15" t="str">
        <f t="shared" si="1"/>
        <v>0089</v>
      </c>
      <c r="K44">
        <f t="shared" si="2"/>
        <v>8</v>
      </c>
      <c r="L44" t="str">
        <f t="shared" si="3"/>
        <v>House</v>
      </c>
      <c r="M44" s="1" t="str">
        <f t="shared" si="3"/>
        <v>Hargeisa</v>
      </c>
      <c r="N44" s="1">
        <f t="shared" si="4"/>
        <v>2026</v>
      </c>
    </row>
    <row r="45" spans="1:14">
      <c r="A45" t="s">
        <v>55</v>
      </c>
      <c r="B45" s="12">
        <v>46066</v>
      </c>
      <c r="C45" t="s">
        <v>5</v>
      </c>
      <c r="D45" t="s">
        <v>2</v>
      </c>
      <c r="E45">
        <v>295</v>
      </c>
      <c r="F45">
        <v>5</v>
      </c>
      <c r="G45" s="3">
        <v>358718.1</v>
      </c>
      <c r="H45" s="3" t="str">
        <f t="shared" si="0"/>
        <v>High</v>
      </c>
      <c r="I45" s="14">
        <f t="shared" ca="1" si="5"/>
        <v>193</v>
      </c>
      <c r="J45" s="15" t="str">
        <f t="shared" si="1"/>
        <v>0114</v>
      </c>
      <c r="K45">
        <f t="shared" si="2"/>
        <v>8</v>
      </c>
      <c r="L45" t="str">
        <f t="shared" si="3"/>
        <v>Villa</v>
      </c>
      <c r="M45" s="1" t="str">
        <f t="shared" si="3"/>
        <v>Hargeisa</v>
      </c>
      <c r="N45" s="1">
        <f t="shared" si="4"/>
        <v>2026</v>
      </c>
    </row>
    <row r="46" spans="1:14">
      <c r="A46" t="s">
        <v>56</v>
      </c>
      <c r="B46" s="12">
        <v>46039</v>
      </c>
      <c r="C46" t="s">
        <v>1</v>
      </c>
      <c r="D46" t="s">
        <v>6</v>
      </c>
      <c r="E46">
        <v>80</v>
      </c>
      <c r="F46">
        <v>5</v>
      </c>
      <c r="G46" s="3">
        <v>49798.06</v>
      </c>
      <c r="H46" s="3" t="str">
        <f t="shared" si="0"/>
        <v>Low</v>
      </c>
      <c r="I46" s="14">
        <f t="shared" ca="1" si="5"/>
        <v>220</v>
      </c>
      <c r="J46" s="15" t="str">
        <f t="shared" si="1"/>
        <v>0266</v>
      </c>
      <c r="K46">
        <f t="shared" si="2"/>
        <v>9</v>
      </c>
      <c r="L46" t="str">
        <f t="shared" si="3"/>
        <v>Apartment</v>
      </c>
      <c r="M46" s="1" t="str">
        <f t="shared" si="3"/>
        <v>Mogadishu</v>
      </c>
      <c r="N46" s="1">
        <f t="shared" si="4"/>
        <v>2026</v>
      </c>
    </row>
    <row r="47" spans="1:14">
      <c r="A47" t="s">
        <v>57</v>
      </c>
      <c r="B47" s="12">
        <v>45683</v>
      </c>
      <c r="C47" t="s">
        <v>1</v>
      </c>
      <c r="D47" t="s">
        <v>39</v>
      </c>
      <c r="E47">
        <v>295</v>
      </c>
      <c r="F47">
        <v>3</v>
      </c>
      <c r="G47" s="3">
        <v>62007.71</v>
      </c>
      <c r="H47" s="3" t="str">
        <f t="shared" si="0"/>
        <v>Low</v>
      </c>
      <c r="I47" s="14">
        <f t="shared" ca="1" si="5"/>
        <v>576</v>
      </c>
      <c r="J47" s="15" t="str">
        <f t="shared" si="1"/>
        <v>0029</v>
      </c>
      <c r="K47">
        <f t="shared" si="2"/>
        <v>6</v>
      </c>
      <c r="L47" t="str">
        <f t="shared" si="3"/>
        <v>Apartment</v>
      </c>
      <c r="M47" s="1" t="str">
        <f t="shared" si="3"/>
        <v>Garowe</v>
      </c>
      <c r="N47" s="1">
        <f t="shared" si="4"/>
        <v>2025</v>
      </c>
    </row>
    <row r="48" spans="1:14">
      <c r="A48" t="s">
        <v>58</v>
      </c>
      <c r="B48" s="12">
        <v>45738</v>
      </c>
      <c r="C48" t="s">
        <v>23</v>
      </c>
      <c r="D48" t="s">
        <v>2</v>
      </c>
      <c r="E48">
        <v>382</v>
      </c>
      <c r="F48">
        <v>0</v>
      </c>
      <c r="G48" s="3">
        <v>178260.23</v>
      </c>
      <c r="H48" s="3" t="str">
        <f t="shared" si="0"/>
        <v>Medium</v>
      </c>
      <c r="I48" s="14">
        <f t="shared" ca="1" si="5"/>
        <v>521</v>
      </c>
      <c r="J48" s="15" t="str">
        <f t="shared" si="1"/>
        <v>0236</v>
      </c>
      <c r="K48">
        <f t="shared" si="2"/>
        <v>8</v>
      </c>
      <c r="L48" t="str">
        <f t="shared" si="3"/>
        <v>Land</v>
      </c>
      <c r="M48" s="1" t="str">
        <f t="shared" si="3"/>
        <v>Hargeisa</v>
      </c>
      <c r="N48" s="1">
        <f t="shared" si="4"/>
        <v>2025</v>
      </c>
    </row>
    <row r="49" spans="1:14">
      <c r="A49" t="s">
        <v>59</v>
      </c>
      <c r="B49" s="12">
        <v>45990</v>
      </c>
      <c r="C49" t="s">
        <v>8</v>
      </c>
      <c r="D49" t="s">
        <v>6</v>
      </c>
      <c r="E49">
        <v>135</v>
      </c>
      <c r="F49">
        <v>6</v>
      </c>
      <c r="G49" s="3">
        <v>120945.17</v>
      </c>
      <c r="H49" s="3" t="str">
        <f t="shared" si="0"/>
        <v>Medium</v>
      </c>
      <c r="I49" s="14">
        <f t="shared" ca="1" si="5"/>
        <v>269</v>
      </c>
      <c r="J49" s="15" t="str">
        <f t="shared" si="1"/>
        <v>0175</v>
      </c>
      <c r="K49">
        <f t="shared" si="2"/>
        <v>9</v>
      </c>
      <c r="L49" t="str">
        <f t="shared" si="3"/>
        <v>House</v>
      </c>
      <c r="M49" s="1" t="str">
        <f t="shared" si="3"/>
        <v>Mogadishu</v>
      </c>
      <c r="N49" s="1">
        <f t="shared" si="4"/>
        <v>2025</v>
      </c>
    </row>
    <row r="50" spans="1:14">
      <c r="A50" t="s">
        <v>60</v>
      </c>
      <c r="B50" s="12">
        <v>45673</v>
      </c>
      <c r="C50" t="s">
        <v>8</v>
      </c>
      <c r="D50" t="s">
        <v>36</v>
      </c>
      <c r="E50">
        <v>125</v>
      </c>
      <c r="F50">
        <v>3</v>
      </c>
      <c r="G50" s="3">
        <v>84348.09</v>
      </c>
      <c r="H50" s="3" t="str">
        <f t="shared" si="0"/>
        <v>Low</v>
      </c>
      <c r="I50" s="14">
        <f t="shared" ca="1" si="5"/>
        <v>586</v>
      </c>
      <c r="J50" s="15" t="str">
        <f t="shared" si="1"/>
        <v>0108</v>
      </c>
      <c r="K50">
        <f t="shared" si="2"/>
        <v>6</v>
      </c>
      <c r="L50" t="str">
        <f t="shared" si="3"/>
        <v>House</v>
      </c>
      <c r="M50" s="1" t="str">
        <f t="shared" si="3"/>
        <v>Bosaso</v>
      </c>
      <c r="N50" s="1">
        <f t="shared" si="4"/>
        <v>2025</v>
      </c>
    </row>
    <row r="51" spans="1:14">
      <c r="A51" t="s">
        <v>61</v>
      </c>
      <c r="B51" s="12">
        <v>46127</v>
      </c>
      <c r="C51" t="s">
        <v>5</v>
      </c>
      <c r="D51" t="s">
        <v>2</v>
      </c>
      <c r="E51">
        <v>450</v>
      </c>
      <c r="F51">
        <v>6</v>
      </c>
      <c r="G51" s="3">
        <v>283192.93</v>
      </c>
      <c r="H51" s="3" t="str">
        <f t="shared" si="0"/>
        <v>High</v>
      </c>
      <c r="I51" s="14">
        <f t="shared" ca="1" si="5"/>
        <v>132</v>
      </c>
      <c r="J51" s="15" t="str">
        <f t="shared" si="1"/>
        <v>0050</v>
      </c>
      <c r="K51">
        <f t="shared" si="2"/>
        <v>8</v>
      </c>
      <c r="L51" t="str">
        <f t="shared" si="3"/>
        <v>Villa</v>
      </c>
      <c r="M51" s="1" t="str">
        <f t="shared" si="3"/>
        <v>Hargeisa</v>
      </c>
      <c r="N51" s="1">
        <f t="shared" si="4"/>
        <v>2026</v>
      </c>
    </row>
    <row r="52" spans="1:14">
      <c r="A52" t="s">
        <v>62</v>
      </c>
      <c r="B52" s="12">
        <v>45727</v>
      </c>
      <c r="C52" t="s">
        <v>23</v>
      </c>
      <c r="D52" t="s">
        <v>36</v>
      </c>
      <c r="E52">
        <v>623</v>
      </c>
      <c r="F52">
        <v>0</v>
      </c>
      <c r="G52" s="3">
        <v>258642.14</v>
      </c>
      <c r="H52" s="3" t="str">
        <f t="shared" si="0"/>
        <v>High</v>
      </c>
      <c r="I52" s="14">
        <f t="shared" ca="1" si="5"/>
        <v>532</v>
      </c>
      <c r="J52" s="15" t="str">
        <f t="shared" si="1"/>
        <v>0193</v>
      </c>
      <c r="K52">
        <f t="shared" si="2"/>
        <v>6</v>
      </c>
      <c r="L52" t="str">
        <f t="shared" si="3"/>
        <v>Land</v>
      </c>
      <c r="M52" s="1" t="str">
        <f t="shared" si="3"/>
        <v>Bosaso</v>
      </c>
      <c r="N52" s="1">
        <f t="shared" si="4"/>
        <v>2025</v>
      </c>
    </row>
    <row r="53" spans="1:14">
      <c r="A53" t="s">
        <v>317</v>
      </c>
      <c r="B53" s="12">
        <v>46207</v>
      </c>
      <c r="C53" t="s">
        <v>10</v>
      </c>
      <c r="D53" t="s">
        <v>4</v>
      </c>
      <c r="E53">
        <v>64</v>
      </c>
      <c r="F53">
        <v>0</v>
      </c>
      <c r="G53" s="3">
        <v>33565.629999999997</v>
      </c>
      <c r="H53" s="3" t="str">
        <f t="shared" si="0"/>
        <v>Low</v>
      </c>
      <c r="I53" s="14">
        <f t="shared" ca="1" si="5"/>
        <v>52</v>
      </c>
      <c r="J53" s="15" t="str">
        <f t="shared" si="1"/>
        <v>wn04</v>
      </c>
      <c r="K53">
        <f t="shared" si="2"/>
        <v>6</v>
      </c>
      <c r="L53" t="str">
        <f t="shared" si="3"/>
        <v>Commercial</v>
      </c>
      <c r="M53" s="1" t="str">
        <f t="shared" si="3"/>
        <v>Baidoa</v>
      </c>
      <c r="N53" s="1">
        <f t="shared" si="4"/>
        <v>2026</v>
      </c>
    </row>
    <row r="54" spans="1:14">
      <c r="A54" t="s">
        <v>63</v>
      </c>
      <c r="B54" s="12">
        <v>45891</v>
      </c>
      <c r="C54" t="s">
        <v>1</v>
      </c>
      <c r="D54" t="s">
        <v>313</v>
      </c>
      <c r="E54">
        <v>147</v>
      </c>
      <c r="F54">
        <v>2</v>
      </c>
      <c r="G54" s="3">
        <v>178260.23</v>
      </c>
      <c r="H54" s="3" t="str">
        <f t="shared" si="0"/>
        <v>Medium</v>
      </c>
      <c r="I54" s="14">
        <f t="shared" ca="1" si="5"/>
        <v>368</v>
      </c>
      <c r="J54" s="15" t="str">
        <f t="shared" si="1"/>
        <v>0256</v>
      </c>
      <c r="K54">
        <f t="shared" si="2"/>
        <v>7</v>
      </c>
      <c r="L54" t="str">
        <f t="shared" si="3"/>
        <v>Apartment</v>
      </c>
      <c r="M54" s="1" t="str">
        <f t="shared" si="3"/>
        <v>Unknown</v>
      </c>
      <c r="N54" s="1">
        <f t="shared" si="4"/>
        <v>2025</v>
      </c>
    </row>
    <row r="55" spans="1:14">
      <c r="A55" t="s">
        <v>318</v>
      </c>
      <c r="B55" s="12">
        <v>45856</v>
      </c>
      <c r="C55" t="s">
        <v>1</v>
      </c>
      <c r="D55" t="s">
        <v>6</v>
      </c>
      <c r="E55">
        <v>103</v>
      </c>
      <c r="F55">
        <v>5</v>
      </c>
      <c r="G55" s="3">
        <v>66440.800000000003</v>
      </c>
      <c r="H55" s="3" t="str">
        <f t="shared" si="0"/>
        <v>Low</v>
      </c>
      <c r="I55" s="14">
        <f t="shared" ca="1" si="5"/>
        <v>403</v>
      </c>
      <c r="J55" s="15" t="str">
        <f t="shared" si="1"/>
        <v>wn05</v>
      </c>
      <c r="K55">
        <f t="shared" si="2"/>
        <v>9</v>
      </c>
      <c r="L55" t="str">
        <f t="shared" si="3"/>
        <v>Apartment</v>
      </c>
      <c r="M55" s="1" t="str">
        <f t="shared" si="3"/>
        <v>Mogadishu</v>
      </c>
      <c r="N55" s="1">
        <f t="shared" si="4"/>
        <v>2025</v>
      </c>
    </row>
    <row r="56" spans="1:14">
      <c r="A56" t="s">
        <v>64</v>
      </c>
      <c r="B56" s="12">
        <v>46201</v>
      </c>
      <c r="C56" t="s">
        <v>5</v>
      </c>
      <c r="D56" t="s">
        <v>6</v>
      </c>
      <c r="E56">
        <v>295</v>
      </c>
      <c r="F56">
        <v>2</v>
      </c>
      <c r="G56" s="3">
        <v>335495.55</v>
      </c>
      <c r="H56" s="3" t="str">
        <f t="shared" si="0"/>
        <v>High</v>
      </c>
      <c r="I56" s="14">
        <f t="shared" ca="1" si="5"/>
        <v>58</v>
      </c>
      <c r="J56" s="15" t="str">
        <f t="shared" si="1"/>
        <v>0153</v>
      </c>
      <c r="K56">
        <f t="shared" si="2"/>
        <v>9</v>
      </c>
      <c r="L56" t="str">
        <f t="shared" si="3"/>
        <v>Villa</v>
      </c>
      <c r="M56" s="1" t="str">
        <f t="shared" si="3"/>
        <v>Mogadishu</v>
      </c>
      <c r="N56" s="1">
        <f t="shared" si="4"/>
        <v>2026</v>
      </c>
    </row>
    <row r="57" spans="1:14">
      <c r="A57" t="s">
        <v>65</v>
      </c>
      <c r="B57" s="12">
        <v>45913</v>
      </c>
      <c r="C57" t="s">
        <v>1</v>
      </c>
      <c r="D57" t="s">
        <v>4</v>
      </c>
      <c r="E57">
        <v>117</v>
      </c>
      <c r="F57">
        <v>6</v>
      </c>
      <c r="G57" s="3">
        <v>178260.23</v>
      </c>
      <c r="H57" s="3" t="str">
        <f t="shared" si="0"/>
        <v>Medium</v>
      </c>
      <c r="I57" s="14">
        <f t="shared" ca="1" si="5"/>
        <v>346</v>
      </c>
      <c r="J57" s="15" t="str">
        <f t="shared" si="1"/>
        <v>0242</v>
      </c>
      <c r="K57">
        <f t="shared" si="2"/>
        <v>6</v>
      </c>
      <c r="L57" t="str">
        <f t="shared" si="3"/>
        <v>Apartment</v>
      </c>
      <c r="M57" s="1" t="str">
        <f t="shared" si="3"/>
        <v>Baidoa</v>
      </c>
      <c r="N57" s="1">
        <f t="shared" si="4"/>
        <v>2025</v>
      </c>
    </row>
    <row r="58" spans="1:14">
      <c r="A58" t="s">
        <v>66</v>
      </c>
      <c r="B58" s="12">
        <v>46002</v>
      </c>
      <c r="C58" t="s">
        <v>1</v>
      </c>
      <c r="D58" t="s">
        <v>313</v>
      </c>
      <c r="E58">
        <v>50</v>
      </c>
      <c r="F58">
        <v>3</v>
      </c>
      <c r="G58" s="3">
        <v>44833.77</v>
      </c>
      <c r="H58" s="3" t="str">
        <f t="shared" si="0"/>
        <v>Low</v>
      </c>
      <c r="I58" s="14">
        <f t="shared" ca="1" si="5"/>
        <v>257</v>
      </c>
      <c r="J58" s="15" t="str">
        <f t="shared" si="1"/>
        <v>0191</v>
      </c>
      <c r="K58">
        <f t="shared" si="2"/>
        <v>7</v>
      </c>
      <c r="L58" t="str">
        <f t="shared" si="3"/>
        <v>Apartment</v>
      </c>
      <c r="M58" s="1" t="str">
        <f t="shared" si="3"/>
        <v>Unknown</v>
      </c>
      <c r="N58" s="1">
        <f t="shared" si="4"/>
        <v>2025</v>
      </c>
    </row>
    <row r="59" spans="1:14">
      <c r="A59" t="s">
        <v>67</v>
      </c>
      <c r="B59" s="12">
        <v>46194</v>
      </c>
      <c r="C59" t="s">
        <v>8</v>
      </c>
      <c r="D59" t="s">
        <v>2</v>
      </c>
      <c r="E59">
        <v>228</v>
      </c>
      <c r="F59">
        <v>1</v>
      </c>
      <c r="G59" s="3">
        <v>133143.54</v>
      </c>
      <c r="H59" s="3" t="str">
        <f t="shared" si="0"/>
        <v>Medium</v>
      </c>
      <c r="I59" s="14">
        <f t="shared" ca="1" si="5"/>
        <v>65</v>
      </c>
      <c r="J59" s="15" t="str">
        <f t="shared" si="1"/>
        <v>0217</v>
      </c>
      <c r="K59">
        <f t="shared" si="2"/>
        <v>8</v>
      </c>
      <c r="L59" t="str">
        <f t="shared" si="3"/>
        <v>House</v>
      </c>
      <c r="M59" s="1" t="str">
        <f t="shared" si="3"/>
        <v>Hargeisa</v>
      </c>
      <c r="N59" s="1">
        <f t="shared" si="4"/>
        <v>2026</v>
      </c>
    </row>
    <row r="60" spans="1:14">
      <c r="A60" t="s">
        <v>68</v>
      </c>
      <c r="B60" s="12">
        <v>45958</v>
      </c>
      <c r="C60" t="s">
        <v>5</v>
      </c>
      <c r="D60" t="s">
        <v>6</v>
      </c>
      <c r="E60">
        <v>317</v>
      </c>
      <c r="F60">
        <v>3</v>
      </c>
      <c r="G60" s="3">
        <v>384484.34</v>
      </c>
      <c r="H60" s="3" t="str">
        <f t="shared" si="0"/>
        <v>High</v>
      </c>
      <c r="I60" s="14">
        <f t="shared" ca="1" si="5"/>
        <v>301</v>
      </c>
      <c r="J60" s="15" t="str">
        <f t="shared" si="1"/>
        <v>0032</v>
      </c>
      <c r="K60">
        <f t="shared" si="2"/>
        <v>9</v>
      </c>
      <c r="L60" t="str">
        <f t="shared" si="3"/>
        <v>Villa</v>
      </c>
      <c r="M60" s="1" t="str">
        <f t="shared" si="3"/>
        <v>Mogadishu</v>
      </c>
      <c r="N60" s="1">
        <f t="shared" si="4"/>
        <v>2025</v>
      </c>
    </row>
    <row r="61" spans="1:14">
      <c r="A61" t="s">
        <v>69</v>
      </c>
      <c r="B61" s="12">
        <v>46215</v>
      </c>
      <c r="C61" t="s">
        <v>1</v>
      </c>
      <c r="D61" t="s">
        <v>38</v>
      </c>
      <c r="E61">
        <v>156</v>
      </c>
      <c r="F61">
        <v>6</v>
      </c>
      <c r="G61" s="3">
        <v>79557.259999999995</v>
      </c>
      <c r="H61" s="3" t="str">
        <f t="shared" si="0"/>
        <v>Low</v>
      </c>
      <c r="I61" s="14">
        <f t="shared" ca="1" si="5"/>
        <v>44</v>
      </c>
      <c r="J61" s="15" t="str">
        <f t="shared" si="1"/>
        <v>0158</v>
      </c>
      <c r="K61">
        <f t="shared" si="2"/>
        <v>7</v>
      </c>
      <c r="L61" t="str">
        <f t="shared" si="3"/>
        <v>Apartment</v>
      </c>
      <c r="M61" s="1" t="str">
        <f t="shared" si="3"/>
        <v>Kismayo</v>
      </c>
      <c r="N61" s="1">
        <f t="shared" si="4"/>
        <v>2026</v>
      </c>
    </row>
    <row r="62" spans="1:14">
      <c r="A62" t="s">
        <v>70</v>
      </c>
      <c r="B62" s="12">
        <v>45705</v>
      </c>
      <c r="C62" t="s">
        <v>23</v>
      </c>
      <c r="D62" t="s">
        <v>313</v>
      </c>
      <c r="E62">
        <v>647</v>
      </c>
      <c r="F62">
        <v>0</v>
      </c>
      <c r="G62" s="3">
        <v>220606.86</v>
      </c>
      <c r="H62" s="3" t="str">
        <f t="shared" si="0"/>
        <v>High</v>
      </c>
      <c r="I62" s="14">
        <f t="shared" ca="1" si="5"/>
        <v>554</v>
      </c>
      <c r="J62" s="15" t="str">
        <f t="shared" si="1"/>
        <v>0020</v>
      </c>
      <c r="K62">
        <f t="shared" si="2"/>
        <v>7</v>
      </c>
      <c r="L62" t="str">
        <f t="shared" si="3"/>
        <v>Land</v>
      </c>
      <c r="M62" s="1" t="str">
        <f t="shared" si="3"/>
        <v>Unknown</v>
      </c>
      <c r="N62" s="1">
        <f t="shared" si="4"/>
        <v>2025</v>
      </c>
    </row>
    <row r="63" spans="1:14">
      <c r="A63" t="s">
        <v>71</v>
      </c>
      <c r="B63" s="12">
        <v>46079</v>
      </c>
      <c r="C63" t="s">
        <v>1</v>
      </c>
      <c r="D63" t="s">
        <v>36</v>
      </c>
      <c r="E63">
        <v>85</v>
      </c>
      <c r="F63">
        <v>1</v>
      </c>
      <c r="G63" s="3">
        <v>46503.12</v>
      </c>
      <c r="H63" s="3" t="str">
        <f t="shared" si="0"/>
        <v>Low</v>
      </c>
      <c r="I63" s="14">
        <f t="shared" ca="1" si="5"/>
        <v>180</v>
      </c>
      <c r="J63" s="15" t="str">
        <f t="shared" si="1"/>
        <v>0250</v>
      </c>
      <c r="K63">
        <f t="shared" si="2"/>
        <v>6</v>
      </c>
      <c r="L63" t="str">
        <f t="shared" si="3"/>
        <v>Apartment</v>
      </c>
      <c r="M63" s="1" t="str">
        <f t="shared" si="3"/>
        <v>Bosaso</v>
      </c>
      <c r="N63" s="1">
        <f t="shared" si="4"/>
        <v>2026</v>
      </c>
    </row>
    <row r="64" spans="1:14">
      <c r="A64" t="s">
        <v>72</v>
      </c>
      <c r="B64" s="12">
        <v>45785</v>
      </c>
      <c r="C64" t="s">
        <v>5</v>
      </c>
      <c r="D64" t="s">
        <v>36</v>
      </c>
      <c r="E64">
        <v>254</v>
      </c>
      <c r="F64">
        <v>6</v>
      </c>
      <c r="G64" s="3">
        <v>145052.32</v>
      </c>
      <c r="H64" s="3" t="str">
        <f t="shared" si="0"/>
        <v>Medium</v>
      </c>
      <c r="I64" s="14">
        <f t="shared" ca="1" si="5"/>
        <v>474</v>
      </c>
      <c r="J64" s="15" t="str">
        <f t="shared" si="1"/>
        <v>0092</v>
      </c>
      <c r="K64">
        <f t="shared" si="2"/>
        <v>6</v>
      </c>
      <c r="L64" t="str">
        <f t="shared" si="3"/>
        <v>Villa</v>
      </c>
      <c r="M64" s="1" t="str">
        <f t="shared" si="3"/>
        <v>Bosaso</v>
      </c>
      <c r="N64" s="1">
        <f t="shared" si="4"/>
        <v>2025</v>
      </c>
    </row>
    <row r="65" spans="1:14">
      <c r="A65" t="s">
        <v>73</v>
      </c>
      <c r="B65" s="12">
        <v>45721</v>
      </c>
      <c r="C65" t="s">
        <v>5</v>
      </c>
      <c r="D65" t="s">
        <v>36</v>
      </c>
      <c r="E65">
        <v>185</v>
      </c>
      <c r="F65">
        <v>2</v>
      </c>
      <c r="G65" s="3">
        <v>103458.47</v>
      </c>
      <c r="H65" s="3" t="str">
        <f t="shared" si="0"/>
        <v>Medium</v>
      </c>
      <c r="I65" s="14">
        <f t="shared" ca="1" si="5"/>
        <v>538</v>
      </c>
      <c r="J65" s="15" t="str">
        <f t="shared" si="1"/>
        <v>0286</v>
      </c>
      <c r="K65">
        <f t="shared" si="2"/>
        <v>6</v>
      </c>
      <c r="L65" t="str">
        <f t="shared" si="3"/>
        <v>Villa</v>
      </c>
      <c r="M65" s="1" t="str">
        <f t="shared" si="3"/>
        <v>Bosaso</v>
      </c>
      <c r="N65" s="1">
        <f t="shared" si="4"/>
        <v>2025</v>
      </c>
    </row>
    <row r="66" spans="1:14">
      <c r="A66" t="s">
        <v>74</v>
      </c>
      <c r="B66" s="12">
        <v>46218</v>
      </c>
      <c r="C66" t="s">
        <v>23</v>
      </c>
      <c r="D66" t="s">
        <v>39</v>
      </c>
      <c r="E66">
        <v>699</v>
      </c>
      <c r="F66">
        <v>0</v>
      </c>
      <c r="G66" s="3">
        <v>258452.71</v>
      </c>
      <c r="H66" s="3" t="str">
        <f t="shared" ref="H66:H129" si="6">_xlfn.IFS(G66&gt;=200000,"High",G66&gt;=100000,"Medium",G66&lt;100000,"Low")</f>
        <v>High</v>
      </c>
      <c r="I66" s="14">
        <f t="shared" ca="1" si="5"/>
        <v>41</v>
      </c>
      <c r="J66" s="15" t="str">
        <f t="shared" ref="J66:J129" si="7">RIGHT(A66,4)</f>
        <v>0207</v>
      </c>
      <c r="K66">
        <f t="shared" ref="K66:K129" si="8">LEN(D66)</f>
        <v>6</v>
      </c>
      <c r="L66" t="str">
        <f t="shared" ref="L66:M129" si="9">PROPER(C66)</f>
        <v>Land</v>
      </c>
      <c r="M66" s="1" t="str">
        <f t="shared" si="9"/>
        <v>Garowe</v>
      </c>
      <c r="N66" s="1">
        <f t="shared" ref="N66:N129" si="10">IF(B66="Unknown","Unknown",YEAR(B66))</f>
        <v>2026</v>
      </c>
    </row>
    <row r="67" spans="1:14">
      <c r="A67" t="s">
        <v>75</v>
      </c>
      <c r="B67" s="12">
        <v>45841</v>
      </c>
      <c r="C67" t="s">
        <v>1</v>
      </c>
      <c r="D67" t="s">
        <v>39</v>
      </c>
      <c r="E67">
        <v>91</v>
      </c>
      <c r="F67">
        <v>4</v>
      </c>
      <c r="G67" s="3">
        <v>39330.03</v>
      </c>
      <c r="H67" s="3" t="str">
        <f t="shared" si="6"/>
        <v>Low</v>
      </c>
      <c r="I67" s="14">
        <f t="shared" ref="I67:I130" ca="1" si="11">IF(OR(B67="Unknown",B67=""),"Unknown",TODAY()-B67)</f>
        <v>418</v>
      </c>
      <c r="J67" s="15" t="str">
        <f t="shared" si="7"/>
        <v>0183</v>
      </c>
      <c r="K67">
        <f t="shared" si="8"/>
        <v>6</v>
      </c>
      <c r="L67" t="str">
        <f t="shared" si="9"/>
        <v>Apartment</v>
      </c>
      <c r="M67" s="1" t="str">
        <f t="shared" si="9"/>
        <v>Garowe</v>
      </c>
      <c r="N67" s="1">
        <f t="shared" si="10"/>
        <v>2025</v>
      </c>
    </row>
    <row r="68" spans="1:14">
      <c r="A68" t="s">
        <v>76</v>
      </c>
      <c r="B68" s="12">
        <v>45797</v>
      </c>
      <c r="C68" t="s">
        <v>10</v>
      </c>
      <c r="D68" t="s">
        <v>6</v>
      </c>
      <c r="E68">
        <v>196</v>
      </c>
      <c r="F68">
        <v>0</v>
      </c>
      <c r="G68" s="3">
        <v>180591.82</v>
      </c>
      <c r="H68" s="3" t="str">
        <f t="shared" si="6"/>
        <v>Medium</v>
      </c>
      <c r="I68" s="14">
        <f t="shared" ca="1" si="11"/>
        <v>462</v>
      </c>
      <c r="J68" s="15" t="str">
        <f t="shared" si="7"/>
        <v>0146</v>
      </c>
      <c r="K68">
        <f t="shared" si="8"/>
        <v>9</v>
      </c>
      <c r="L68" t="str">
        <f t="shared" si="9"/>
        <v>Commercial</v>
      </c>
      <c r="M68" s="1" t="str">
        <f t="shared" si="9"/>
        <v>Mogadishu</v>
      </c>
      <c r="N68" s="1">
        <f t="shared" si="10"/>
        <v>2025</v>
      </c>
    </row>
    <row r="69" spans="1:14">
      <c r="A69" t="s">
        <v>77</v>
      </c>
      <c r="B69" s="12">
        <v>46034</v>
      </c>
      <c r="C69" t="s">
        <v>1</v>
      </c>
      <c r="D69" t="s">
        <v>6</v>
      </c>
      <c r="E69">
        <v>133</v>
      </c>
      <c r="F69">
        <v>5</v>
      </c>
      <c r="G69" s="3">
        <v>105680.17</v>
      </c>
      <c r="H69" s="3" t="str">
        <f t="shared" si="6"/>
        <v>Medium</v>
      </c>
      <c r="I69" s="14">
        <f t="shared" ca="1" si="11"/>
        <v>225</v>
      </c>
      <c r="J69" s="15" t="str">
        <f t="shared" si="7"/>
        <v>0040</v>
      </c>
      <c r="K69">
        <f t="shared" si="8"/>
        <v>9</v>
      </c>
      <c r="L69" t="str">
        <f t="shared" si="9"/>
        <v>Apartment</v>
      </c>
      <c r="M69" s="1" t="str">
        <f t="shared" si="9"/>
        <v>Mogadishu</v>
      </c>
      <c r="N69" s="1">
        <f t="shared" si="10"/>
        <v>2026</v>
      </c>
    </row>
    <row r="70" spans="1:14">
      <c r="A70" t="s">
        <v>78</v>
      </c>
      <c r="B70" s="12">
        <v>45905</v>
      </c>
      <c r="C70" t="s">
        <v>5</v>
      </c>
      <c r="D70" t="s">
        <v>6</v>
      </c>
      <c r="E70">
        <v>211</v>
      </c>
      <c r="F70">
        <v>2</v>
      </c>
      <c r="G70" s="3">
        <v>209482.86</v>
      </c>
      <c r="H70" s="3" t="str">
        <f t="shared" si="6"/>
        <v>High</v>
      </c>
      <c r="I70" s="14">
        <f t="shared" ca="1" si="11"/>
        <v>354</v>
      </c>
      <c r="J70" s="15" t="str">
        <f t="shared" si="7"/>
        <v>0182</v>
      </c>
      <c r="K70">
        <f t="shared" si="8"/>
        <v>9</v>
      </c>
      <c r="L70" t="str">
        <f t="shared" si="9"/>
        <v>Villa</v>
      </c>
      <c r="M70" s="1" t="str">
        <f t="shared" si="9"/>
        <v>Mogadishu</v>
      </c>
      <c r="N70" s="1">
        <f t="shared" si="10"/>
        <v>2025</v>
      </c>
    </row>
    <row r="71" spans="1:14">
      <c r="A71" t="s">
        <v>79</v>
      </c>
      <c r="B71" s="12" t="s">
        <v>313</v>
      </c>
      <c r="C71" t="s">
        <v>23</v>
      </c>
      <c r="D71" t="s">
        <v>4</v>
      </c>
      <c r="E71">
        <v>1078</v>
      </c>
      <c r="F71">
        <v>0</v>
      </c>
      <c r="G71" s="3">
        <v>340698.41</v>
      </c>
      <c r="H71" s="3" t="str">
        <f t="shared" si="6"/>
        <v>High</v>
      </c>
      <c r="I71" s="14" t="str">
        <f t="shared" ca="1" si="11"/>
        <v>Unknown</v>
      </c>
      <c r="J71" s="15" t="str">
        <f t="shared" si="7"/>
        <v>0268</v>
      </c>
      <c r="K71">
        <f t="shared" si="8"/>
        <v>6</v>
      </c>
      <c r="L71" t="str">
        <f t="shared" si="9"/>
        <v>Land</v>
      </c>
      <c r="M71" s="1" t="str">
        <f t="shared" si="9"/>
        <v>Baidoa</v>
      </c>
      <c r="N71" s="1" t="str">
        <f t="shared" si="10"/>
        <v>Unknown</v>
      </c>
    </row>
    <row r="72" spans="1:14">
      <c r="A72" t="s">
        <v>80</v>
      </c>
      <c r="B72" s="12">
        <v>45722</v>
      </c>
      <c r="C72" t="s">
        <v>1</v>
      </c>
      <c r="D72" t="s">
        <v>6</v>
      </c>
      <c r="E72">
        <v>172</v>
      </c>
      <c r="F72">
        <v>3</v>
      </c>
      <c r="G72" s="3">
        <v>170994.69</v>
      </c>
      <c r="H72" s="3" t="str">
        <f t="shared" si="6"/>
        <v>Medium</v>
      </c>
      <c r="I72" s="14">
        <f t="shared" ca="1" si="11"/>
        <v>537</v>
      </c>
      <c r="J72" s="15" t="str">
        <f t="shared" si="7"/>
        <v>0262</v>
      </c>
      <c r="K72">
        <f t="shared" si="8"/>
        <v>9</v>
      </c>
      <c r="L72" t="str">
        <f t="shared" si="9"/>
        <v>Apartment</v>
      </c>
      <c r="M72" s="1" t="str">
        <f t="shared" si="9"/>
        <v>Mogadishu</v>
      </c>
      <c r="N72" s="1">
        <f t="shared" si="10"/>
        <v>2025</v>
      </c>
    </row>
    <row r="73" spans="1:14">
      <c r="A73" t="s">
        <v>81</v>
      </c>
      <c r="B73" s="12">
        <v>46157</v>
      </c>
      <c r="C73" t="s">
        <v>23</v>
      </c>
      <c r="D73" t="s">
        <v>39</v>
      </c>
      <c r="E73">
        <v>883</v>
      </c>
      <c r="F73">
        <v>0</v>
      </c>
      <c r="G73" s="3">
        <v>375425.55</v>
      </c>
      <c r="H73" s="3" t="str">
        <f t="shared" si="6"/>
        <v>High</v>
      </c>
      <c r="I73" s="14">
        <f t="shared" ca="1" si="11"/>
        <v>102</v>
      </c>
      <c r="J73" s="15" t="str">
        <f t="shared" si="7"/>
        <v>0031</v>
      </c>
      <c r="K73">
        <f t="shared" si="8"/>
        <v>6</v>
      </c>
      <c r="L73" t="str">
        <f t="shared" si="9"/>
        <v>Land</v>
      </c>
      <c r="M73" s="1" t="str">
        <f t="shared" si="9"/>
        <v>Garowe</v>
      </c>
      <c r="N73" s="1">
        <f t="shared" si="10"/>
        <v>2026</v>
      </c>
    </row>
    <row r="74" spans="1:14">
      <c r="A74" t="s">
        <v>82</v>
      </c>
      <c r="B74" s="12">
        <v>46070</v>
      </c>
      <c r="C74" t="s">
        <v>10</v>
      </c>
      <c r="D74" t="s">
        <v>6</v>
      </c>
      <c r="E74">
        <v>69</v>
      </c>
      <c r="F74">
        <v>0</v>
      </c>
      <c r="G74" s="3">
        <v>91262.04</v>
      </c>
      <c r="H74" s="3" t="str">
        <f t="shared" si="6"/>
        <v>Low</v>
      </c>
      <c r="I74" s="14">
        <f t="shared" ca="1" si="11"/>
        <v>189</v>
      </c>
      <c r="J74" s="15" t="str">
        <f t="shared" si="7"/>
        <v>0080</v>
      </c>
      <c r="K74">
        <f t="shared" si="8"/>
        <v>9</v>
      </c>
      <c r="L74" t="str">
        <f t="shared" si="9"/>
        <v>Commercial</v>
      </c>
      <c r="M74" s="1" t="str">
        <f t="shared" si="9"/>
        <v>Mogadishu</v>
      </c>
      <c r="N74" s="1">
        <f t="shared" si="10"/>
        <v>2026</v>
      </c>
    </row>
    <row r="75" spans="1:14">
      <c r="A75" t="s">
        <v>83</v>
      </c>
      <c r="B75" s="12" t="s">
        <v>313</v>
      </c>
      <c r="C75" t="s">
        <v>8</v>
      </c>
      <c r="D75" t="s">
        <v>6</v>
      </c>
      <c r="E75">
        <v>166</v>
      </c>
      <c r="F75">
        <v>2</v>
      </c>
      <c r="G75" s="3">
        <v>133326.93</v>
      </c>
      <c r="H75" s="3" t="str">
        <f t="shared" si="6"/>
        <v>Medium</v>
      </c>
      <c r="I75" s="14" t="str">
        <f t="shared" ca="1" si="11"/>
        <v>Unknown</v>
      </c>
      <c r="J75" s="15" t="str">
        <f t="shared" si="7"/>
        <v>0173</v>
      </c>
      <c r="K75">
        <f t="shared" si="8"/>
        <v>9</v>
      </c>
      <c r="L75" t="str">
        <f t="shared" si="9"/>
        <v>House</v>
      </c>
      <c r="M75" s="1" t="str">
        <f t="shared" si="9"/>
        <v>Mogadishu</v>
      </c>
      <c r="N75" s="1" t="str">
        <f t="shared" si="10"/>
        <v>Unknown</v>
      </c>
    </row>
    <row r="76" spans="1:14">
      <c r="A76" t="s">
        <v>85</v>
      </c>
      <c r="B76" s="12">
        <v>45971</v>
      </c>
      <c r="C76" t="s">
        <v>23</v>
      </c>
      <c r="D76" t="s">
        <v>4</v>
      </c>
      <c r="E76">
        <v>595</v>
      </c>
      <c r="F76">
        <v>0</v>
      </c>
      <c r="G76" s="3">
        <v>149841.1</v>
      </c>
      <c r="H76" s="3" t="str">
        <f t="shared" si="6"/>
        <v>Medium</v>
      </c>
      <c r="I76" s="14">
        <f t="shared" ca="1" si="11"/>
        <v>288</v>
      </c>
      <c r="J76" s="15" t="str">
        <f t="shared" si="7"/>
        <v>0248</v>
      </c>
      <c r="K76">
        <f t="shared" si="8"/>
        <v>6</v>
      </c>
      <c r="L76" t="str">
        <f t="shared" si="9"/>
        <v>Land</v>
      </c>
      <c r="M76" s="1" t="str">
        <f t="shared" si="9"/>
        <v>Baidoa</v>
      </c>
      <c r="N76" s="1">
        <f t="shared" si="10"/>
        <v>2025</v>
      </c>
    </row>
    <row r="77" spans="1:14">
      <c r="A77" t="s">
        <v>86</v>
      </c>
      <c r="B77" s="12">
        <v>46050</v>
      </c>
      <c r="C77" t="s">
        <v>1</v>
      </c>
      <c r="D77" t="s">
        <v>6</v>
      </c>
      <c r="E77">
        <v>89</v>
      </c>
      <c r="F77">
        <v>6</v>
      </c>
      <c r="G77" s="3">
        <v>64626.19</v>
      </c>
      <c r="H77" s="3" t="str">
        <f t="shared" si="6"/>
        <v>Low</v>
      </c>
      <c r="I77" s="14">
        <f t="shared" ca="1" si="11"/>
        <v>209</v>
      </c>
      <c r="J77" s="15" t="str">
        <f t="shared" si="7"/>
        <v>0136</v>
      </c>
      <c r="K77">
        <f t="shared" si="8"/>
        <v>9</v>
      </c>
      <c r="L77" t="str">
        <f t="shared" si="9"/>
        <v>Apartment</v>
      </c>
      <c r="M77" s="1" t="str">
        <f t="shared" si="9"/>
        <v>Mogadishu</v>
      </c>
      <c r="N77" s="1">
        <f t="shared" si="10"/>
        <v>2026</v>
      </c>
    </row>
    <row r="78" spans="1:14">
      <c r="A78" t="s">
        <v>87</v>
      </c>
      <c r="B78" s="12">
        <v>45701</v>
      </c>
      <c r="C78" t="s">
        <v>23</v>
      </c>
      <c r="D78" t="s">
        <v>6</v>
      </c>
      <c r="E78">
        <v>586</v>
      </c>
      <c r="F78">
        <v>0</v>
      </c>
      <c r="G78" s="3">
        <v>238979.75</v>
      </c>
      <c r="H78" s="3" t="str">
        <f t="shared" si="6"/>
        <v>High</v>
      </c>
      <c r="I78" s="14">
        <f t="shared" ca="1" si="11"/>
        <v>558</v>
      </c>
      <c r="J78" s="15" t="str">
        <f t="shared" si="7"/>
        <v>0079</v>
      </c>
      <c r="K78">
        <f t="shared" si="8"/>
        <v>9</v>
      </c>
      <c r="L78" t="str">
        <f t="shared" si="9"/>
        <v>Land</v>
      </c>
      <c r="M78" s="1" t="str">
        <f t="shared" si="9"/>
        <v>Mogadishu</v>
      </c>
      <c r="N78" s="1">
        <f t="shared" si="10"/>
        <v>2025</v>
      </c>
    </row>
    <row r="79" spans="1:14">
      <c r="A79" t="s">
        <v>88</v>
      </c>
      <c r="B79" s="12">
        <v>46114</v>
      </c>
      <c r="C79" t="s">
        <v>1</v>
      </c>
      <c r="D79" t="s">
        <v>6</v>
      </c>
      <c r="E79">
        <v>145</v>
      </c>
      <c r="F79">
        <v>2</v>
      </c>
      <c r="G79" s="3">
        <v>102546.99</v>
      </c>
      <c r="H79" s="3" t="str">
        <f t="shared" si="6"/>
        <v>Medium</v>
      </c>
      <c r="I79" s="14">
        <f t="shared" ca="1" si="11"/>
        <v>145</v>
      </c>
      <c r="J79" s="15" t="str">
        <f t="shared" si="7"/>
        <v>0225</v>
      </c>
      <c r="K79">
        <f t="shared" si="8"/>
        <v>9</v>
      </c>
      <c r="L79" t="str">
        <f t="shared" si="9"/>
        <v>Apartment</v>
      </c>
      <c r="M79" s="1" t="str">
        <f t="shared" si="9"/>
        <v>Mogadishu</v>
      </c>
      <c r="N79" s="1">
        <f t="shared" si="10"/>
        <v>2026</v>
      </c>
    </row>
    <row r="80" spans="1:14">
      <c r="A80" t="s">
        <v>90</v>
      </c>
      <c r="B80" s="12">
        <v>46198</v>
      </c>
      <c r="C80" t="s">
        <v>23</v>
      </c>
      <c r="D80" t="s">
        <v>38</v>
      </c>
      <c r="E80">
        <v>887</v>
      </c>
      <c r="F80">
        <v>0</v>
      </c>
      <c r="G80" s="3">
        <v>330469.31</v>
      </c>
      <c r="H80" s="3" t="str">
        <f t="shared" si="6"/>
        <v>High</v>
      </c>
      <c r="I80" s="14">
        <f t="shared" ca="1" si="11"/>
        <v>61</v>
      </c>
      <c r="J80" s="15" t="str">
        <f t="shared" si="7"/>
        <v>0057</v>
      </c>
      <c r="K80">
        <f t="shared" si="8"/>
        <v>7</v>
      </c>
      <c r="L80" t="str">
        <f t="shared" si="9"/>
        <v>Land</v>
      </c>
      <c r="M80" s="1" t="str">
        <f t="shared" si="9"/>
        <v>Kismayo</v>
      </c>
      <c r="N80" s="1">
        <f t="shared" si="10"/>
        <v>2026</v>
      </c>
    </row>
    <row r="81" spans="1:14">
      <c r="A81" t="s">
        <v>91</v>
      </c>
      <c r="B81" s="12">
        <v>45883</v>
      </c>
      <c r="C81" t="s">
        <v>8</v>
      </c>
      <c r="D81" t="s">
        <v>6</v>
      </c>
      <c r="E81">
        <v>297</v>
      </c>
      <c r="F81">
        <v>4</v>
      </c>
      <c r="G81" s="3">
        <v>310767.87</v>
      </c>
      <c r="H81" s="3" t="str">
        <f t="shared" si="6"/>
        <v>High</v>
      </c>
      <c r="I81" s="14">
        <f t="shared" ca="1" si="11"/>
        <v>376</v>
      </c>
      <c r="J81" s="15" t="str">
        <f t="shared" si="7"/>
        <v>0181</v>
      </c>
      <c r="K81">
        <f t="shared" si="8"/>
        <v>9</v>
      </c>
      <c r="L81" t="str">
        <f t="shared" si="9"/>
        <v>House</v>
      </c>
      <c r="M81" s="1" t="str">
        <f t="shared" si="9"/>
        <v>Mogadishu</v>
      </c>
      <c r="N81" s="1">
        <f t="shared" si="10"/>
        <v>2025</v>
      </c>
    </row>
    <row r="82" spans="1:14">
      <c r="A82" t="s">
        <v>92</v>
      </c>
      <c r="B82" s="12">
        <v>46037</v>
      </c>
      <c r="C82" t="s">
        <v>8</v>
      </c>
      <c r="D82" t="s">
        <v>38</v>
      </c>
      <c r="E82">
        <v>291</v>
      </c>
      <c r="F82">
        <v>3</v>
      </c>
      <c r="G82" s="3">
        <v>157439.37</v>
      </c>
      <c r="H82" s="3" t="str">
        <f t="shared" si="6"/>
        <v>Medium</v>
      </c>
      <c r="I82" s="14">
        <f t="shared" ca="1" si="11"/>
        <v>222</v>
      </c>
      <c r="J82" s="15" t="str">
        <f t="shared" si="7"/>
        <v>0027</v>
      </c>
      <c r="K82">
        <f t="shared" si="8"/>
        <v>7</v>
      </c>
      <c r="L82" t="str">
        <f t="shared" si="9"/>
        <v>House</v>
      </c>
      <c r="M82" s="1" t="str">
        <f t="shared" si="9"/>
        <v>Kismayo</v>
      </c>
      <c r="N82" s="1">
        <f t="shared" si="10"/>
        <v>2026</v>
      </c>
    </row>
    <row r="83" spans="1:14">
      <c r="A83" t="s">
        <v>93</v>
      </c>
      <c r="B83" s="12">
        <v>45835</v>
      </c>
      <c r="C83" t="s">
        <v>8</v>
      </c>
      <c r="D83" t="s">
        <v>39</v>
      </c>
      <c r="E83">
        <v>235</v>
      </c>
      <c r="F83">
        <v>3</v>
      </c>
      <c r="G83" s="3">
        <v>111417.31</v>
      </c>
      <c r="H83" s="3" t="str">
        <f t="shared" si="6"/>
        <v>Medium</v>
      </c>
      <c r="I83" s="14">
        <f t="shared" ca="1" si="11"/>
        <v>424</v>
      </c>
      <c r="J83" s="15" t="str">
        <f t="shared" si="7"/>
        <v>0247</v>
      </c>
      <c r="K83">
        <f t="shared" si="8"/>
        <v>6</v>
      </c>
      <c r="L83" t="str">
        <f t="shared" si="9"/>
        <v>House</v>
      </c>
      <c r="M83" s="1" t="str">
        <f t="shared" si="9"/>
        <v>Garowe</v>
      </c>
      <c r="N83" s="1">
        <f t="shared" si="10"/>
        <v>2025</v>
      </c>
    </row>
    <row r="84" spans="1:14">
      <c r="A84" t="s">
        <v>94</v>
      </c>
      <c r="B84" s="12">
        <v>45844</v>
      </c>
      <c r="C84" t="s">
        <v>1</v>
      </c>
      <c r="D84" t="s">
        <v>39</v>
      </c>
      <c r="E84">
        <v>150</v>
      </c>
      <c r="F84">
        <v>5</v>
      </c>
      <c r="G84" s="3">
        <v>67235.58</v>
      </c>
      <c r="H84" s="3" t="str">
        <f t="shared" si="6"/>
        <v>Low</v>
      </c>
      <c r="I84" s="14">
        <f t="shared" ca="1" si="11"/>
        <v>415</v>
      </c>
      <c r="J84" s="15" t="str">
        <f t="shared" si="7"/>
        <v>0131</v>
      </c>
      <c r="K84">
        <f t="shared" si="8"/>
        <v>6</v>
      </c>
      <c r="L84" t="str">
        <f t="shared" si="9"/>
        <v>Apartment</v>
      </c>
      <c r="M84" s="1" t="str">
        <f t="shared" si="9"/>
        <v>Garowe</v>
      </c>
      <c r="N84" s="1">
        <f t="shared" si="10"/>
        <v>2025</v>
      </c>
    </row>
    <row r="85" spans="1:14">
      <c r="A85" t="s">
        <v>95</v>
      </c>
      <c r="B85" s="12">
        <v>45732</v>
      </c>
      <c r="C85" t="s">
        <v>23</v>
      </c>
      <c r="D85" t="s">
        <v>4</v>
      </c>
      <c r="E85">
        <v>843</v>
      </c>
      <c r="F85">
        <v>0</v>
      </c>
      <c r="G85" s="3">
        <v>253248.66</v>
      </c>
      <c r="H85" s="3" t="str">
        <f t="shared" si="6"/>
        <v>High</v>
      </c>
      <c r="I85" s="14">
        <f t="shared" ca="1" si="11"/>
        <v>527</v>
      </c>
      <c r="J85" s="15" t="str">
        <f t="shared" si="7"/>
        <v>0051</v>
      </c>
      <c r="K85">
        <f t="shared" si="8"/>
        <v>6</v>
      </c>
      <c r="L85" t="str">
        <f t="shared" si="9"/>
        <v>Land</v>
      </c>
      <c r="M85" s="1" t="str">
        <f t="shared" si="9"/>
        <v>Baidoa</v>
      </c>
      <c r="N85" s="1">
        <f t="shared" si="10"/>
        <v>2025</v>
      </c>
    </row>
    <row r="86" spans="1:14">
      <c r="A86" t="s">
        <v>96</v>
      </c>
      <c r="B86" s="12">
        <v>46089</v>
      </c>
      <c r="C86" t="s">
        <v>1</v>
      </c>
      <c r="D86" t="s">
        <v>36</v>
      </c>
      <c r="E86">
        <v>124</v>
      </c>
      <c r="F86">
        <v>3</v>
      </c>
      <c r="G86" s="3">
        <v>62620.84</v>
      </c>
      <c r="H86" s="3" t="str">
        <f t="shared" si="6"/>
        <v>Low</v>
      </c>
      <c r="I86" s="14">
        <f t="shared" ca="1" si="11"/>
        <v>170</v>
      </c>
      <c r="J86" s="15" t="str">
        <f t="shared" si="7"/>
        <v>0139</v>
      </c>
      <c r="K86">
        <f t="shared" si="8"/>
        <v>6</v>
      </c>
      <c r="L86" t="str">
        <f t="shared" si="9"/>
        <v>Apartment</v>
      </c>
      <c r="M86" s="1" t="str">
        <f t="shared" si="9"/>
        <v>Bosaso</v>
      </c>
      <c r="N86" s="1">
        <f t="shared" si="10"/>
        <v>2026</v>
      </c>
    </row>
    <row r="87" spans="1:14">
      <c r="A87" t="s">
        <v>97</v>
      </c>
      <c r="B87" s="12">
        <v>46194</v>
      </c>
      <c r="C87" t="s">
        <v>313</v>
      </c>
      <c r="D87" t="s">
        <v>2</v>
      </c>
      <c r="E87">
        <v>167</v>
      </c>
      <c r="F87">
        <v>3</v>
      </c>
      <c r="G87" s="3">
        <v>91681.95</v>
      </c>
      <c r="H87" s="3" t="str">
        <f t="shared" si="6"/>
        <v>Low</v>
      </c>
      <c r="I87" s="14">
        <f t="shared" ca="1" si="11"/>
        <v>65</v>
      </c>
      <c r="J87" s="15" t="str">
        <f t="shared" si="7"/>
        <v>0110</v>
      </c>
      <c r="K87">
        <f t="shared" si="8"/>
        <v>8</v>
      </c>
      <c r="L87" t="str">
        <f t="shared" si="9"/>
        <v>Unknown</v>
      </c>
      <c r="M87" s="1" t="str">
        <f t="shared" si="9"/>
        <v>Hargeisa</v>
      </c>
      <c r="N87" s="1">
        <f t="shared" si="10"/>
        <v>2026</v>
      </c>
    </row>
    <row r="88" spans="1:14">
      <c r="A88" t="s">
        <v>98</v>
      </c>
      <c r="B88" s="12">
        <v>46056</v>
      </c>
      <c r="C88" t="s">
        <v>10</v>
      </c>
      <c r="D88" t="s">
        <v>36</v>
      </c>
      <c r="E88">
        <v>231</v>
      </c>
      <c r="F88">
        <v>3</v>
      </c>
      <c r="G88" s="3">
        <v>214717.06</v>
      </c>
      <c r="H88" s="3" t="str">
        <f t="shared" si="6"/>
        <v>High</v>
      </c>
      <c r="I88" s="14">
        <f t="shared" ca="1" si="11"/>
        <v>203</v>
      </c>
      <c r="J88" s="15" t="str">
        <f t="shared" si="7"/>
        <v>0278</v>
      </c>
      <c r="K88">
        <f t="shared" si="8"/>
        <v>6</v>
      </c>
      <c r="L88" t="str">
        <f t="shared" si="9"/>
        <v>Commercial</v>
      </c>
      <c r="M88" s="1" t="str">
        <f t="shared" si="9"/>
        <v>Bosaso</v>
      </c>
      <c r="N88" s="1">
        <f t="shared" si="10"/>
        <v>2026</v>
      </c>
    </row>
    <row r="89" spans="1:14">
      <c r="A89" t="s">
        <v>99</v>
      </c>
      <c r="B89" s="12">
        <v>46128</v>
      </c>
      <c r="C89" t="s">
        <v>1</v>
      </c>
      <c r="D89" t="s">
        <v>6</v>
      </c>
      <c r="E89">
        <v>112</v>
      </c>
      <c r="F89">
        <v>3</v>
      </c>
      <c r="G89" s="3">
        <v>178260.23</v>
      </c>
      <c r="H89" s="3" t="str">
        <f t="shared" si="6"/>
        <v>Medium</v>
      </c>
      <c r="I89" s="14">
        <f t="shared" ca="1" si="11"/>
        <v>131</v>
      </c>
      <c r="J89" s="15" t="str">
        <f t="shared" si="7"/>
        <v>0021</v>
      </c>
      <c r="K89">
        <f t="shared" si="8"/>
        <v>9</v>
      </c>
      <c r="L89" t="str">
        <f t="shared" si="9"/>
        <v>Apartment</v>
      </c>
      <c r="M89" s="1" t="str">
        <f t="shared" si="9"/>
        <v>Mogadishu</v>
      </c>
      <c r="N89" s="1">
        <f t="shared" si="10"/>
        <v>2026</v>
      </c>
    </row>
    <row r="90" spans="1:14">
      <c r="A90" t="s">
        <v>100</v>
      </c>
      <c r="B90" s="12">
        <v>45868</v>
      </c>
      <c r="C90" t="s">
        <v>1</v>
      </c>
      <c r="D90" t="s">
        <v>6</v>
      </c>
      <c r="E90">
        <v>97</v>
      </c>
      <c r="F90">
        <v>6</v>
      </c>
      <c r="G90" s="3">
        <v>58265.18</v>
      </c>
      <c r="H90" s="3" t="str">
        <f t="shared" si="6"/>
        <v>Low</v>
      </c>
      <c r="I90" s="14">
        <f t="shared" ca="1" si="11"/>
        <v>391</v>
      </c>
      <c r="J90" s="15" t="str">
        <f t="shared" si="7"/>
        <v>0090</v>
      </c>
      <c r="K90">
        <f t="shared" si="8"/>
        <v>9</v>
      </c>
      <c r="L90" t="str">
        <f t="shared" si="9"/>
        <v>Apartment</v>
      </c>
      <c r="M90" s="1" t="str">
        <f t="shared" si="9"/>
        <v>Mogadishu</v>
      </c>
      <c r="N90" s="1">
        <f t="shared" si="10"/>
        <v>2025</v>
      </c>
    </row>
    <row r="91" spans="1:14">
      <c r="A91" t="s">
        <v>101</v>
      </c>
      <c r="B91" s="12">
        <v>45878</v>
      </c>
      <c r="C91" t="s">
        <v>23</v>
      </c>
      <c r="D91" t="s">
        <v>2</v>
      </c>
      <c r="E91">
        <v>934</v>
      </c>
      <c r="F91">
        <v>0</v>
      </c>
      <c r="G91" s="3">
        <v>432360.21</v>
      </c>
      <c r="H91" s="3" t="str">
        <f t="shared" si="6"/>
        <v>High</v>
      </c>
      <c r="I91" s="14">
        <f t="shared" ca="1" si="11"/>
        <v>381</v>
      </c>
      <c r="J91" s="15" t="str">
        <f t="shared" si="7"/>
        <v>0083</v>
      </c>
      <c r="K91">
        <f t="shared" si="8"/>
        <v>8</v>
      </c>
      <c r="L91" t="str">
        <f t="shared" si="9"/>
        <v>Land</v>
      </c>
      <c r="M91" s="1" t="str">
        <f t="shared" si="9"/>
        <v>Hargeisa</v>
      </c>
      <c r="N91" s="1">
        <f t="shared" si="10"/>
        <v>2025</v>
      </c>
    </row>
    <row r="92" spans="1:14">
      <c r="A92" t="s">
        <v>102</v>
      </c>
      <c r="B92" s="12" t="s">
        <v>313</v>
      </c>
      <c r="C92" t="s">
        <v>8</v>
      </c>
      <c r="D92" t="s">
        <v>36</v>
      </c>
      <c r="E92">
        <v>194</v>
      </c>
      <c r="F92">
        <v>1</v>
      </c>
      <c r="G92" s="3">
        <v>135462.84</v>
      </c>
      <c r="H92" s="3" t="str">
        <f t="shared" si="6"/>
        <v>Medium</v>
      </c>
      <c r="I92" s="14" t="str">
        <f t="shared" ca="1" si="11"/>
        <v>Unknown</v>
      </c>
      <c r="J92" s="15" t="str">
        <f t="shared" si="7"/>
        <v>0240</v>
      </c>
      <c r="K92">
        <f t="shared" si="8"/>
        <v>6</v>
      </c>
      <c r="L92" t="str">
        <f t="shared" si="9"/>
        <v>House</v>
      </c>
      <c r="M92" s="1" t="str">
        <f t="shared" si="9"/>
        <v>Bosaso</v>
      </c>
      <c r="N92" s="1" t="str">
        <f t="shared" si="10"/>
        <v>Unknown</v>
      </c>
    </row>
    <row r="93" spans="1:14">
      <c r="A93" t="s">
        <v>103</v>
      </c>
      <c r="B93" s="12">
        <v>46045</v>
      </c>
      <c r="C93" t="s">
        <v>1</v>
      </c>
      <c r="D93" t="s">
        <v>6</v>
      </c>
      <c r="E93">
        <v>77</v>
      </c>
      <c r="F93">
        <v>3</v>
      </c>
      <c r="G93" s="3">
        <v>70238.490000000005</v>
      </c>
      <c r="H93" s="3" t="str">
        <f t="shared" si="6"/>
        <v>Low</v>
      </c>
      <c r="I93" s="14">
        <f t="shared" ca="1" si="11"/>
        <v>214</v>
      </c>
      <c r="J93" s="15" t="str">
        <f t="shared" si="7"/>
        <v>0009</v>
      </c>
      <c r="K93">
        <f t="shared" si="8"/>
        <v>9</v>
      </c>
      <c r="L93" t="str">
        <f t="shared" si="9"/>
        <v>Apartment</v>
      </c>
      <c r="M93" s="1" t="str">
        <f t="shared" si="9"/>
        <v>Mogadishu</v>
      </c>
      <c r="N93" s="1">
        <f t="shared" si="10"/>
        <v>2026</v>
      </c>
    </row>
    <row r="94" spans="1:14">
      <c r="A94" t="s">
        <v>104</v>
      </c>
      <c r="B94" s="12">
        <v>45994</v>
      </c>
      <c r="C94" t="s">
        <v>10</v>
      </c>
      <c r="D94" t="s">
        <v>6</v>
      </c>
      <c r="E94">
        <v>229</v>
      </c>
      <c r="F94">
        <v>3</v>
      </c>
      <c r="G94" s="3">
        <v>298104.53000000003</v>
      </c>
      <c r="H94" s="3" t="str">
        <f t="shared" si="6"/>
        <v>High</v>
      </c>
      <c r="I94" s="14">
        <f t="shared" ca="1" si="11"/>
        <v>265</v>
      </c>
      <c r="J94" s="15" t="str">
        <f t="shared" si="7"/>
        <v>0243</v>
      </c>
      <c r="K94">
        <f t="shared" si="8"/>
        <v>9</v>
      </c>
      <c r="L94" t="str">
        <f t="shared" si="9"/>
        <v>Commercial</v>
      </c>
      <c r="M94" s="1" t="str">
        <f t="shared" si="9"/>
        <v>Mogadishu</v>
      </c>
      <c r="N94" s="1">
        <f t="shared" si="10"/>
        <v>2025</v>
      </c>
    </row>
    <row r="95" spans="1:14">
      <c r="A95" t="s">
        <v>105</v>
      </c>
      <c r="B95" s="12">
        <v>45844</v>
      </c>
      <c r="C95" t="s">
        <v>8</v>
      </c>
      <c r="D95" t="s">
        <v>39</v>
      </c>
      <c r="E95">
        <v>161</v>
      </c>
      <c r="F95">
        <v>4</v>
      </c>
      <c r="G95" s="3">
        <v>110245.28</v>
      </c>
      <c r="H95" s="3" t="str">
        <f t="shared" si="6"/>
        <v>Medium</v>
      </c>
      <c r="I95" s="14">
        <f t="shared" ca="1" si="11"/>
        <v>415</v>
      </c>
      <c r="J95" s="15" t="str">
        <f t="shared" si="7"/>
        <v>0138</v>
      </c>
      <c r="K95">
        <f t="shared" si="8"/>
        <v>6</v>
      </c>
      <c r="L95" t="str">
        <f t="shared" si="9"/>
        <v>House</v>
      </c>
      <c r="M95" s="1" t="str">
        <f t="shared" si="9"/>
        <v>Garowe</v>
      </c>
      <c r="N95" s="1">
        <f t="shared" si="10"/>
        <v>2025</v>
      </c>
    </row>
    <row r="96" spans="1:14">
      <c r="A96" t="s">
        <v>106</v>
      </c>
      <c r="B96" s="12">
        <v>46186</v>
      </c>
      <c r="C96" t="s">
        <v>10</v>
      </c>
      <c r="D96" t="s">
        <v>313</v>
      </c>
      <c r="E96">
        <v>206</v>
      </c>
      <c r="F96">
        <v>0</v>
      </c>
      <c r="G96" s="3">
        <v>168595.17</v>
      </c>
      <c r="H96" s="3" t="str">
        <f t="shared" si="6"/>
        <v>Medium</v>
      </c>
      <c r="I96" s="14">
        <f t="shared" ca="1" si="11"/>
        <v>73</v>
      </c>
      <c r="J96" s="15" t="str">
        <f t="shared" si="7"/>
        <v>0154</v>
      </c>
      <c r="K96">
        <f t="shared" si="8"/>
        <v>7</v>
      </c>
      <c r="L96" t="str">
        <f t="shared" si="9"/>
        <v>Commercial</v>
      </c>
      <c r="M96" s="1" t="str">
        <f t="shared" si="9"/>
        <v>Unknown</v>
      </c>
      <c r="N96" s="1">
        <f t="shared" si="10"/>
        <v>2026</v>
      </c>
    </row>
    <row r="97" spans="1:14">
      <c r="A97" t="s">
        <v>107</v>
      </c>
      <c r="B97" s="12">
        <v>46036</v>
      </c>
      <c r="C97" t="s">
        <v>1</v>
      </c>
      <c r="D97" t="s">
        <v>39</v>
      </c>
      <c r="E97">
        <v>116</v>
      </c>
      <c r="F97">
        <v>3</v>
      </c>
      <c r="G97" s="3">
        <v>73511.17</v>
      </c>
      <c r="H97" s="3" t="str">
        <f t="shared" si="6"/>
        <v>Low</v>
      </c>
      <c r="I97" s="14">
        <f t="shared" ca="1" si="11"/>
        <v>223</v>
      </c>
      <c r="J97" s="15" t="str">
        <f t="shared" si="7"/>
        <v>0258</v>
      </c>
      <c r="K97">
        <f t="shared" si="8"/>
        <v>6</v>
      </c>
      <c r="L97" t="str">
        <f t="shared" si="9"/>
        <v>Apartment</v>
      </c>
      <c r="M97" s="1" t="str">
        <f t="shared" si="9"/>
        <v>Garowe</v>
      </c>
      <c r="N97" s="1">
        <f t="shared" si="10"/>
        <v>2026</v>
      </c>
    </row>
    <row r="98" spans="1:14">
      <c r="A98" t="s">
        <v>108</v>
      </c>
      <c r="B98" s="12">
        <v>45813</v>
      </c>
      <c r="C98" t="s">
        <v>1</v>
      </c>
      <c r="D98" t="s">
        <v>4</v>
      </c>
      <c r="E98">
        <v>141</v>
      </c>
      <c r="F98">
        <v>6</v>
      </c>
      <c r="G98" s="3">
        <v>64690.11</v>
      </c>
      <c r="H98" s="3" t="str">
        <f t="shared" si="6"/>
        <v>Low</v>
      </c>
      <c r="I98" s="14">
        <f t="shared" ca="1" si="11"/>
        <v>446</v>
      </c>
      <c r="J98" s="15" t="str">
        <f t="shared" si="7"/>
        <v>0234</v>
      </c>
      <c r="K98">
        <f t="shared" si="8"/>
        <v>6</v>
      </c>
      <c r="L98" t="str">
        <f t="shared" si="9"/>
        <v>Apartment</v>
      </c>
      <c r="M98" s="1" t="str">
        <f t="shared" si="9"/>
        <v>Baidoa</v>
      </c>
      <c r="N98" s="1">
        <f t="shared" si="10"/>
        <v>2025</v>
      </c>
    </row>
    <row r="99" spans="1:14">
      <c r="A99" t="s">
        <v>109</v>
      </c>
      <c r="B99" s="12">
        <v>45680</v>
      </c>
      <c r="C99" t="s">
        <v>10</v>
      </c>
      <c r="D99" t="s">
        <v>39</v>
      </c>
      <c r="E99">
        <v>271</v>
      </c>
      <c r="F99">
        <v>0</v>
      </c>
      <c r="G99" s="3">
        <v>265541.71000000002</v>
      </c>
      <c r="H99" s="3" t="str">
        <f t="shared" si="6"/>
        <v>High</v>
      </c>
      <c r="I99" s="14">
        <f t="shared" ca="1" si="11"/>
        <v>579</v>
      </c>
      <c r="J99" s="15" t="str">
        <f t="shared" si="7"/>
        <v>0101</v>
      </c>
      <c r="K99">
        <f t="shared" si="8"/>
        <v>6</v>
      </c>
      <c r="L99" t="str">
        <f t="shared" si="9"/>
        <v>Commercial</v>
      </c>
      <c r="M99" s="1" t="str">
        <f t="shared" si="9"/>
        <v>Garowe</v>
      </c>
      <c r="N99" s="1">
        <f t="shared" si="10"/>
        <v>2025</v>
      </c>
    </row>
    <row r="100" spans="1:14">
      <c r="A100" t="s">
        <v>110</v>
      </c>
      <c r="B100" s="12">
        <v>45951</v>
      </c>
      <c r="C100" t="s">
        <v>10</v>
      </c>
      <c r="D100" t="s">
        <v>2</v>
      </c>
      <c r="E100">
        <v>448</v>
      </c>
      <c r="F100">
        <v>0</v>
      </c>
      <c r="G100" s="3">
        <v>445115.15</v>
      </c>
      <c r="H100" s="3" t="str">
        <f t="shared" si="6"/>
        <v>High</v>
      </c>
      <c r="I100" s="14">
        <f t="shared" ca="1" si="11"/>
        <v>308</v>
      </c>
      <c r="J100" s="15" t="str">
        <f t="shared" si="7"/>
        <v>0104</v>
      </c>
      <c r="K100">
        <f t="shared" si="8"/>
        <v>8</v>
      </c>
      <c r="L100" t="str">
        <f t="shared" si="9"/>
        <v>Commercial</v>
      </c>
      <c r="M100" s="1" t="str">
        <f t="shared" si="9"/>
        <v>Hargeisa</v>
      </c>
      <c r="N100" s="1">
        <f t="shared" si="10"/>
        <v>2025</v>
      </c>
    </row>
    <row r="101" spans="1:14">
      <c r="A101" t="s">
        <v>111</v>
      </c>
      <c r="B101" s="12">
        <v>45690</v>
      </c>
      <c r="C101" t="s">
        <v>5</v>
      </c>
      <c r="D101" t="s">
        <v>6</v>
      </c>
      <c r="E101">
        <v>415</v>
      </c>
      <c r="F101">
        <v>2</v>
      </c>
      <c r="G101" s="3">
        <v>445052.71</v>
      </c>
      <c r="H101" s="3" t="str">
        <f t="shared" si="6"/>
        <v>High</v>
      </c>
      <c r="I101" s="14">
        <f t="shared" ca="1" si="11"/>
        <v>569</v>
      </c>
      <c r="J101" s="15" t="str">
        <f t="shared" si="7"/>
        <v>0244</v>
      </c>
      <c r="K101">
        <f t="shared" si="8"/>
        <v>9</v>
      </c>
      <c r="L101" t="str">
        <f t="shared" si="9"/>
        <v>Villa</v>
      </c>
      <c r="M101" s="1" t="str">
        <f t="shared" si="9"/>
        <v>Mogadishu</v>
      </c>
      <c r="N101" s="1">
        <f t="shared" si="10"/>
        <v>2025</v>
      </c>
    </row>
    <row r="102" spans="1:14">
      <c r="A102" t="s">
        <v>319</v>
      </c>
      <c r="B102" s="12">
        <v>45666</v>
      </c>
      <c r="C102" t="s">
        <v>1</v>
      </c>
      <c r="D102" t="s">
        <v>2</v>
      </c>
      <c r="E102">
        <v>154</v>
      </c>
      <c r="F102">
        <v>3</v>
      </c>
      <c r="G102" s="3">
        <v>116015.65</v>
      </c>
      <c r="H102" s="3" t="str">
        <f t="shared" si="6"/>
        <v>Medium</v>
      </c>
      <c r="I102" s="14">
        <f t="shared" ca="1" si="11"/>
        <v>593</v>
      </c>
      <c r="J102" s="15" t="str">
        <f t="shared" si="7"/>
        <v>wn06</v>
      </c>
      <c r="K102">
        <f t="shared" si="8"/>
        <v>8</v>
      </c>
      <c r="L102" t="str">
        <f t="shared" si="9"/>
        <v>Apartment</v>
      </c>
      <c r="M102" s="1" t="str">
        <f t="shared" si="9"/>
        <v>Hargeisa</v>
      </c>
      <c r="N102" s="1">
        <f t="shared" si="10"/>
        <v>2025</v>
      </c>
    </row>
    <row r="103" spans="1:14">
      <c r="A103" t="s">
        <v>112</v>
      </c>
      <c r="B103" s="12">
        <v>45931</v>
      </c>
      <c r="C103" t="s">
        <v>1</v>
      </c>
      <c r="D103" t="s">
        <v>2</v>
      </c>
      <c r="E103">
        <v>61</v>
      </c>
      <c r="F103">
        <v>1</v>
      </c>
      <c r="G103" s="3">
        <v>46892.15</v>
      </c>
      <c r="H103" s="3" t="str">
        <f t="shared" si="6"/>
        <v>Low</v>
      </c>
      <c r="I103" s="14">
        <f t="shared" ca="1" si="11"/>
        <v>328</v>
      </c>
      <c r="J103" s="15" t="str">
        <f t="shared" si="7"/>
        <v>0259</v>
      </c>
      <c r="K103">
        <f t="shared" si="8"/>
        <v>8</v>
      </c>
      <c r="L103" t="str">
        <f t="shared" si="9"/>
        <v>Apartment</v>
      </c>
      <c r="M103" s="1" t="str">
        <f t="shared" si="9"/>
        <v>Hargeisa</v>
      </c>
      <c r="N103" s="1">
        <f t="shared" si="10"/>
        <v>2025</v>
      </c>
    </row>
    <row r="104" spans="1:14">
      <c r="A104" t="s">
        <v>113</v>
      </c>
      <c r="B104" s="12">
        <v>45798</v>
      </c>
      <c r="C104" t="s">
        <v>10</v>
      </c>
      <c r="D104" t="s">
        <v>36</v>
      </c>
      <c r="E104">
        <v>270</v>
      </c>
      <c r="F104">
        <v>0</v>
      </c>
      <c r="G104" s="3">
        <v>262440.46000000002</v>
      </c>
      <c r="H104" s="3" t="str">
        <f t="shared" si="6"/>
        <v>High</v>
      </c>
      <c r="I104" s="14">
        <f t="shared" ca="1" si="11"/>
        <v>461</v>
      </c>
      <c r="J104" s="15" t="str">
        <f t="shared" si="7"/>
        <v>0228</v>
      </c>
      <c r="K104">
        <f t="shared" si="8"/>
        <v>6</v>
      </c>
      <c r="L104" t="str">
        <f t="shared" si="9"/>
        <v>Commercial</v>
      </c>
      <c r="M104" s="1" t="str">
        <f t="shared" si="9"/>
        <v>Bosaso</v>
      </c>
      <c r="N104" s="1">
        <f t="shared" si="10"/>
        <v>2025</v>
      </c>
    </row>
    <row r="105" spans="1:14">
      <c r="A105" t="s">
        <v>114</v>
      </c>
      <c r="B105" s="12">
        <v>45899</v>
      </c>
      <c r="C105" t="s">
        <v>313</v>
      </c>
      <c r="D105" t="s">
        <v>6</v>
      </c>
      <c r="E105">
        <v>166</v>
      </c>
      <c r="F105">
        <v>5</v>
      </c>
      <c r="G105" s="3">
        <v>155168.88</v>
      </c>
      <c r="H105" s="3" t="str">
        <f t="shared" si="6"/>
        <v>Medium</v>
      </c>
      <c r="I105" s="14">
        <f t="shared" ca="1" si="11"/>
        <v>360</v>
      </c>
      <c r="J105" s="15" t="str">
        <f t="shared" si="7"/>
        <v>0246</v>
      </c>
      <c r="K105">
        <f t="shared" si="8"/>
        <v>9</v>
      </c>
      <c r="L105" t="str">
        <f t="shared" si="9"/>
        <v>Unknown</v>
      </c>
      <c r="M105" s="1" t="str">
        <f t="shared" si="9"/>
        <v>Mogadishu</v>
      </c>
      <c r="N105" s="1">
        <f t="shared" si="10"/>
        <v>2025</v>
      </c>
    </row>
    <row r="106" spans="1:14">
      <c r="A106" t="s">
        <v>115</v>
      </c>
      <c r="B106" s="12">
        <v>46143</v>
      </c>
      <c r="C106" t="s">
        <v>1</v>
      </c>
      <c r="D106" t="s">
        <v>36</v>
      </c>
      <c r="E106">
        <v>135</v>
      </c>
      <c r="F106">
        <v>2</v>
      </c>
      <c r="G106" s="3">
        <v>73674.14</v>
      </c>
      <c r="H106" s="3" t="str">
        <f t="shared" si="6"/>
        <v>Low</v>
      </c>
      <c r="I106" s="14">
        <f t="shared" ca="1" si="11"/>
        <v>116</v>
      </c>
      <c r="J106" s="15" t="str">
        <f t="shared" si="7"/>
        <v>0102</v>
      </c>
      <c r="K106">
        <f t="shared" si="8"/>
        <v>6</v>
      </c>
      <c r="L106" t="str">
        <f t="shared" si="9"/>
        <v>Apartment</v>
      </c>
      <c r="M106" s="1" t="str">
        <f t="shared" si="9"/>
        <v>Bosaso</v>
      </c>
      <c r="N106" s="1">
        <f t="shared" si="10"/>
        <v>2026</v>
      </c>
    </row>
    <row r="107" spans="1:14">
      <c r="A107" t="s">
        <v>116</v>
      </c>
      <c r="B107" s="12">
        <v>46158</v>
      </c>
      <c r="C107" t="s">
        <v>23</v>
      </c>
      <c r="D107" t="s">
        <v>6</v>
      </c>
      <c r="E107">
        <v>984</v>
      </c>
      <c r="F107">
        <v>0</v>
      </c>
      <c r="G107" s="3">
        <v>459356.74</v>
      </c>
      <c r="H107" s="3" t="str">
        <f t="shared" si="6"/>
        <v>High</v>
      </c>
      <c r="I107" s="14">
        <f t="shared" ca="1" si="11"/>
        <v>101</v>
      </c>
      <c r="J107" s="15" t="str">
        <f t="shared" si="7"/>
        <v>0068</v>
      </c>
      <c r="K107">
        <f t="shared" si="8"/>
        <v>9</v>
      </c>
      <c r="L107" t="str">
        <f t="shared" si="9"/>
        <v>Land</v>
      </c>
      <c r="M107" s="1" t="str">
        <f t="shared" si="9"/>
        <v>Mogadishu</v>
      </c>
      <c r="N107" s="1">
        <f t="shared" si="10"/>
        <v>2026</v>
      </c>
    </row>
    <row r="108" spans="1:14">
      <c r="A108" t="s">
        <v>117</v>
      </c>
      <c r="B108" s="12">
        <v>45784</v>
      </c>
      <c r="C108" t="s">
        <v>1</v>
      </c>
      <c r="D108" t="s">
        <v>2</v>
      </c>
      <c r="E108">
        <v>168</v>
      </c>
      <c r="F108">
        <v>3</v>
      </c>
      <c r="G108" s="3">
        <v>92416.46</v>
      </c>
      <c r="H108" s="3" t="str">
        <f t="shared" si="6"/>
        <v>Low</v>
      </c>
      <c r="I108" s="14">
        <f t="shared" ca="1" si="11"/>
        <v>475</v>
      </c>
      <c r="J108" s="15" t="str">
        <f t="shared" si="7"/>
        <v>0127</v>
      </c>
      <c r="K108">
        <f t="shared" si="8"/>
        <v>8</v>
      </c>
      <c r="L108" t="str">
        <f t="shared" si="9"/>
        <v>Apartment</v>
      </c>
      <c r="M108" s="1" t="str">
        <f t="shared" si="9"/>
        <v>Hargeisa</v>
      </c>
      <c r="N108" s="1">
        <f t="shared" si="10"/>
        <v>2025</v>
      </c>
    </row>
    <row r="109" spans="1:14">
      <c r="A109" t="s">
        <v>118</v>
      </c>
      <c r="B109" s="12">
        <v>45665</v>
      </c>
      <c r="C109" t="s">
        <v>23</v>
      </c>
      <c r="D109" t="s">
        <v>6</v>
      </c>
      <c r="E109">
        <v>813</v>
      </c>
      <c r="F109">
        <v>0</v>
      </c>
      <c r="G109" s="3">
        <v>414242.22</v>
      </c>
      <c r="H109" s="3" t="str">
        <f t="shared" si="6"/>
        <v>High</v>
      </c>
      <c r="I109" s="14">
        <f t="shared" ca="1" si="11"/>
        <v>594</v>
      </c>
      <c r="J109" s="15" t="str">
        <f t="shared" si="7"/>
        <v>0252</v>
      </c>
      <c r="K109">
        <f t="shared" si="8"/>
        <v>9</v>
      </c>
      <c r="L109" t="str">
        <f t="shared" si="9"/>
        <v>Land</v>
      </c>
      <c r="M109" s="1" t="str">
        <f t="shared" si="9"/>
        <v>Mogadishu</v>
      </c>
      <c r="N109" s="1">
        <f t="shared" si="10"/>
        <v>2025</v>
      </c>
    </row>
    <row r="110" spans="1:14">
      <c r="A110" t="s">
        <v>119</v>
      </c>
      <c r="B110" s="12">
        <v>46085</v>
      </c>
      <c r="C110" t="s">
        <v>23</v>
      </c>
      <c r="D110" t="s">
        <v>313</v>
      </c>
      <c r="E110">
        <v>380</v>
      </c>
      <c r="F110">
        <v>0</v>
      </c>
      <c r="G110" s="3">
        <v>143686.20000000001</v>
      </c>
      <c r="H110" s="3" t="str">
        <f t="shared" si="6"/>
        <v>Medium</v>
      </c>
      <c r="I110" s="14">
        <f t="shared" ca="1" si="11"/>
        <v>174</v>
      </c>
      <c r="J110" s="15" t="str">
        <f t="shared" si="7"/>
        <v>0170</v>
      </c>
      <c r="K110">
        <f t="shared" si="8"/>
        <v>7</v>
      </c>
      <c r="L110" t="str">
        <f t="shared" si="9"/>
        <v>Land</v>
      </c>
      <c r="M110" s="1" t="str">
        <f t="shared" si="9"/>
        <v>Unknown</v>
      </c>
      <c r="N110" s="1">
        <f t="shared" si="10"/>
        <v>2026</v>
      </c>
    </row>
    <row r="111" spans="1:14">
      <c r="A111" t="s">
        <v>120</v>
      </c>
      <c r="B111" s="12">
        <v>45837</v>
      </c>
      <c r="C111" t="s">
        <v>5</v>
      </c>
      <c r="D111" t="s">
        <v>6</v>
      </c>
      <c r="E111">
        <v>358</v>
      </c>
      <c r="F111">
        <v>2</v>
      </c>
      <c r="G111" s="3">
        <v>438404.42</v>
      </c>
      <c r="H111" s="3" t="str">
        <f t="shared" si="6"/>
        <v>High</v>
      </c>
      <c r="I111" s="14">
        <f t="shared" ca="1" si="11"/>
        <v>422</v>
      </c>
      <c r="J111" s="15" t="str">
        <f t="shared" si="7"/>
        <v>0283</v>
      </c>
      <c r="K111">
        <f t="shared" si="8"/>
        <v>9</v>
      </c>
      <c r="L111" t="str">
        <f t="shared" si="9"/>
        <v>Villa</v>
      </c>
      <c r="M111" s="1" t="str">
        <f t="shared" si="9"/>
        <v>Mogadishu</v>
      </c>
      <c r="N111" s="1">
        <f t="shared" si="10"/>
        <v>2025</v>
      </c>
    </row>
    <row r="112" spans="1:14">
      <c r="A112" t="s">
        <v>121</v>
      </c>
      <c r="B112" s="12">
        <v>46151</v>
      </c>
      <c r="C112" t="s">
        <v>5</v>
      </c>
      <c r="D112" t="s">
        <v>4</v>
      </c>
      <c r="E112">
        <v>371</v>
      </c>
      <c r="F112">
        <v>2</v>
      </c>
      <c r="G112" s="3">
        <v>203546.79</v>
      </c>
      <c r="H112" s="3" t="str">
        <f t="shared" si="6"/>
        <v>High</v>
      </c>
      <c r="I112" s="14">
        <f t="shared" ca="1" si="11"/>
        <v>108</v>
      </c>
      <c r="J112" s="15" t="str">
        <f t="shared" si="7"/>
        <v>0185</v>
      </c>
      <c r="K112">
        <f t="shared" si="8"/>
        <v>6</v>
      </c>
      <c r="L112" t="str">
        <f t="shared" si="9"/>
        <v>Villa</v>
      </c>
      <c r="M112" s="1" t="str">
        <f t="shared" si="9"/>
        <v>Baidoa</v>
      </c>
      <c r="N112" s="1">
        <f t="shared" si="10"/>
        <v>2026</v>
      </c>
    </row>
    <row r="113" spans="1:14">
      <c r="A113" t="s">
        <v>122</v>
      </c>
      <c r="B113" s="12">
        <v>46182</v>
      </c>
      <c r="C113" t="s">
        <v>1</v>
      </c>
      <c r="D113" t="s">
        <v>6</v>
      </c>
      <c r="E113">
        <v>115</v>
      </c>
      <c r="F113">
        <v>6</v>
      </c>
      <c r="G113" s="3">
        <v>72611.19</v>
      </c>
      <c r="H113" s="3" t="str">
        <f t="shared" si="6"/>
        <v>Low</v>
      </c>
      <c r="I113" s="14">
        <f t="shared" ca="1" si="11"/>
        <v>77</v>
      </c>
      <c r="J113" s="15" t="str">
        <f t="shared" si="7"/>
        <v>0113</v>
      </c>
      <c r="K113">
        <f t="shared" si="8"/>
        <v>9</v>
      </c>
      <c r="L113" t="str">
        <f t="shared" si="9"/>
        <v>Apartment</v>
      </c>
      <c r="M113" s="1" t="str">
        <f t="shared" si="9"/>
        <v>Mogadishu</v>
      </c>
      <c r="N113" s="1">
        <f t="shared" si="10"/>
        <v>2026</v>
      </c>
    </row>
    <row r="114" spans="1:14">
      <c r="A114" t="s">
        <v>123</v>
      </c>
      <c r="B114" s="12">
        <v>45945</v>
      </c>
      <c r="C114" t="s">
        <v>10</v>
      </c>
      <c r="D114" t="s">
        <v>6</v>
      </c>
      <c r="E114">
        <v>493</v>
      </c>
      <c r="F114">
        <v>0</v>
      </c>
      <c r="G114" s="3">
        <v>427642.06</v>
      </c>
      <c r="H114" s="3" t="str">
        <f t="shared" si="6"/>
        <v>High</v>
      </c>
      <c r="I114" s="14">
        <f t="shared" ca="1" si="11"/>
        <v>314</v>
      </c>
      <c r="J114" s="15" t="str">
        <f t="shared" si="7"/>
        <v>0047</v>
      </c>
      <c r="K114">
        <f t="shared" si="8"/>
        <v>9</v>
      </c>
      <c r="L114" t="str">
        <f t="shared" si="9"/>
        <v>Commercial</v>
      </c>
      <c r="M114" s="1" t="str">
        <f t="shared" si="9"/>
        <v>Mogadishu</v>
      </c>
      <c r="N114" s="1">
        <f t="shared" si="10"/>
        <v>2025</v>
      </c>
    </row>
    <row r="115" spans="1:14">
      <c r="A115" t="s">
        <v>124</v>
      </c>
      <c r="B115" s="12">
        <v>45957</v>
      </c>
      <c r="C115" t="s">
        <v>23</v>
      </c>
      <c r="D115" t="s">
        <v>4</v>
      </c>
      <c r="E115">
        <v>1076</v>
      </c>
      <c r="F115">
        <v>0</v>
      </c>
      <c r="G115" s="3">
        <v>334622.21999999997</v>
      </c>
      <c r="H115" s="3" t="str">
        <f t="shared" si="6"/>
        <v>High</v>
      </c>
      <c r="I115" s="14">
        <f t="shared" ca="1" si="11"/>
        <v>302</v>
      </c>
      <c r="J115" s="15" t="str">
        <f t="shared" si="7"/>
        <v>0054</v>
      </c>
      <c r="K115">
        <f t="shared" si="8"/>
        <v>6</v>
      </c>
      <c r="L115" t="str">
        <f t="shared" si="9"/>
        <v>Land</v>
      </c>
      <c r="M115" s="1" t="str">
        <f t="shared" si="9"/>
        <v>Baidoa</v>
      </c>
      <c r="N115" s="1">
        <f t="shared" si="10"/>
        <v>2025</v>
      </c>
    </row>
    <row r="116" spans="1:14">
      <c r="A116" t="s">
        <v>125</v>
      </c>
      <c r="B116" s="12">
        <v>46175</v>
      </c>
      <c r="C116" t="s">
        <v>1</v>
      </c>
      <c r="D116" t="s">
        <v>2</v>
      </c>
      <c r="E116">
        <v>104</v>
      </c>
      <c r="F116">
        <v>5</v>
      </c>
      <c r="G116" s="3">
        <v>56655.14</v>
      </c>
      <c r="H116" s="3" t="str">
        <f t="shared" si="6"/>
        <v>Low</v>
      </c>
      <c r="I116" s="14">
        <f t="shared" ca="1" si="11"/>
        <v>84</v>
      </c>
      <c r="J116" s="15" t="str">
        <f t="shared" si="7"/>
        <v>0281</v>
      </c>
      <c r="K116">
        <f t="shared" si="8"/>
        <v>8</v>
      </c>
      <c r="L116" t="str">
        <f t="shared" si="9"/>
        <v>Apartment</v>
      </c>
      <c r="M116" s="1" t="str">
        <f t="shared" si="9"/>
        <v>Hargeisa</v>
      </c>
      <c r="N116" s="1">
        <f t="shared" si="10"/>
        <v>2026</v>
      </c>
    </row>
    <row r="117" spans="1:14">
      <c r="A117" t="s">
        <v>126</v>
      </c>
      <c r="B117" s="12">
        <v>45986</v>
      </c>
      <c r="C117" t="s">
        <v>313</v>
      </c>
      <c r="D117" t="s">
        <v>6</v>
      </c>
      <c r="E117">
        <v>235</v>
      </c>
      <c r="F117">
        <v>0</v>
      </c>
      <c r="G117" s="3">
        <v>288826.65000000002</v>
      </c>
      <c r="H117" s="3" t="str">
        <f t="shared" si="6"/>
        <v>High</v>
      </c>
      <c r="I117" s="14">
        <f t="shared" ca="1" si="11"/>
        <v>273</v>
      </c>
      <c r="J117" s="15" t="str">
        <f t="shared" si="7"/>
        <v>0205</v>
      </c>
      <c r="K117">
        <f t="shared" si="8"/>
        <v>9</v>
      </c>
      <c r="L117" t="str">
        <f t="shared" si="9"/>
        <v>Unknown</v>
      </c>
      <c r="M117" s="1" t="str">
        <f t="shared" si="9"/>
        <v>Mogadishu</v>
      </c>
      <c r="N117" s="1">
        <f t="shared" si="10"/>
        <v>2025</v>
      </c>
    </row>
    <row r="118" spans="1:14">
      <c r="A118" t="s">
        <v>127</v>
      </c>
      <c r="B118" s="12">
        <v>45670</v>
      </c>
      <c r="C118" t="s">
        <v>23</v>
      </c>
      <c r="D118" t="s">
        <v>6</v>
      </c>
      <c r="E118">
        <v>155</v>
      </c>
      <c r="F118">
        <v>0</v>
      </c>
      <c r="G118" s="3">
        <v>74769.710000000006</v>
      </c>
      <c r="H118" s="3" t="str">
        <f t="shared" si="6"/>
        <v>Low</v>
      </c>
      <c r="I118" s="14">
        <f t="shared" ca="1" si="11"/>
        <v>589</v>
      </c>
      <c r="J118" s="15" t="str">
        <f t="shared" si="7"/>
        <v>0140</v>
      </c>
      <c r="K118">
        <f t="shared" si="8"/>
        <v>9</v>
      </c>
      <c r="L118" t="str">
        <f t="shared" si="9"/>
        <v>Land</v>
      </c>
      <c r="M118" s="1" t="str">
        <f t="shared" si="9"/>
        <v>Mogadishu</v>
      </c>
      <c r="N118" s="1">
        <f t="shared" si="10"/>
        <v>2025</v>
      </c>
    </row>
    <row r="119" spans="1:14">
      <c r="A119" t="s">
        <v>128</v>
      </c>
      <c r="B119" s="12">
        <v>45855</v>
      </c>
      <c r="C119" t="s">
        <v>23</v>
      </c>
      <c r="D119" t="s">
        <v>6</v>
      </c>
      <c r="E119">
        <v>930</v>
      </c>
      <c r="F119">
        <v>0</v>
      </c>
      <c r="G119" s="3">
        <v>411198.88</v>
      </c>
      <c r="H119" s="3" t="str">
        <f t="shared" si="6"/>
        <v>High</v>
      </c>
      <c r="I119" s="14">
        <f t="shared" ca="1" si="11"/>
        <v>404</v>
      </c>
      <c r="J119" s="15" t="str">
        <f t="shared" si="7"/>
        <v>0064</v>
      </c>
      <c r="K119">
        <f t="shared" si="8"/>
        <v>9</v>
      </c>
      <c r="L119" t="str">
        <f t="shared" si="9"/>
        <v>Land</v>
      </c>
      <c r="M119" s="1" t="str">
        <f t="shared" si="9"/>
        <v>Mogadishu</v>
      </c>
      <c r="N119" s="1">
        <f t="shared" si="10"/>
        <v>2025</v>
      </c>
    </row>
    <row r="120" spans="1:14">
      <c r="A120" t="s">
        <v>129</v>
      </c>
      <c r="B120" s="12">
        <v>45725</v>
      </c>
      <c r="C120" t="s">
        <v>10</v>
      </c>
      <c r="D120" t="s">
        <v>6</v>
      </c>
      <c r="E120">
        <v>413</v>
      </c>
      <c r="F120">
        <v>3</v>
      </c>
      <c r="G120" s="3">
        <v>456980.34</v>
      </c>
      <c r="H120" s="3" t="str">
        <f t="shared" si="6"/>
        <v>High</v>
      </c>
      <c r="I120" s="14">
        <f t="shared" ca="1" si="11"/>
        <v>534</v>
      </c>
      <c r="J120" s="15" t="str">
        <f t="shared" si="7"/>
        <v>0147</v>
      </c>
      <c r="K120">
        <f t="shared" si="8"/>
        <v>9</v>
      </c>
      <c r="L120" t="str">
        <f t="shared" si="9"/>
        <v>Commercial</v>
      </c>
      <c r="M120" s="1" t="str">
        <f t="shared" si="9"/>
        <v>Mogadishu</v>
      </c>
      <c r="N120" s="1">
        <f t="shared" si="10"/>
        <v>2025</v>
      </c>
    </row>
    <row r="121" spans="1:14">
      <c r="A121" t="s">
        <v>130</v>
      </c>
      <c r="B121" s="12">
        <v>45897</v>
      </c>
      <c r="C121" t="s">
        <v>1</v>
      </c>
      <c r="D121" t="s">
        <v>38</v>
      </c>
      <c r="E121">
        <v>62</v>
      </c>
      <c r="F121">
        <v>5</v>
      </c>
      <c r="G121" s="3">
        <v>31037.94</v>
      </c>
      <c r="H121" s="3" t="str">
        <f t="shared" si="6"/>
        <v>Low</v>
      </c>
      <c r="I121" s="14">
        <f t="shared" ca="1" si="11"/>
        <v>362</v>
      </c>
      <c r="J121" s="15" t="str">
        <f t="shared" si="7"/>
        <v>0071</v>
      </c>
      <c r="K121">
        <f t="shared" si="8"/>
        <v>7</v>
      </c>
      <c r="L121" t="str">
        <f t="shared" si="9"/>
        <v>Apartment</v>
      </c>
      <c r="M121" s="1" t="str">
        <f t="shared" si="9"/>
        <v>Kismayo</v>
      </c>
      <c r="N121" s="1">
        <f t="shared" si="10"/>
        <v>2025</v>
      </c>
    </row>
    <row r="122" spans="1:14">
      <c r="A122" t="s">
        <v>131</v>
      </c>
      <c r="B122" s="12">
        <v>46179</v>
      </c>
      <c r="C122" t="s">
        <v>8</v>
      </c>
      <c r="D122" t="s">
        <v>39</v>
      </c>
      <c r="E122">
        <v>236</v>
      </c>
      <c r="F122">
        <v>3</v>
      </c>
      <c r="G122" s="3">
        <v>121984.45</v>
      </c>
      <c r="H122" s="3" t="str">
        <f t="shared" si="6"/>
        <v>Medium</v>
      </c>
      <c r="I122" s="14">
        <f t="shared" ca="1" si="11"/>
        <v>80</v>
      </c>
      <c r="J122" s="15" t="str">
        <f t="shared" si="7"/>
        <v>0105</v>
      </c>
      <c r="K122">
        <f t="shared" si="8"/>
        <v>6</v>
      </c>
      <c r="L122" t="str">
        <f t="shared" si="9"/>
        <v>House</v>
      </c>
      <c r="M122" s="1" t="str">
        <f t="shared" si="9"/>
        <v>Garowe</v>
      </c>
      <c r="N122" s="1">
        <f t="shared" si="10"/>
        <v>2026</v>
      </c>
    </row>
    <row r="123" spans="1:14">
      <c r="A123" t="s">
        <v>132</v>
      </c>
      <c r="B123" s="12">
        <v>46186</v>
      </c>
      <c r="C123" t="s">
        <v>1</v>
      </c>
      <c r="D123" t="s">
        <v>38</v>
      </c>
      <c r="E123">
        <v>53</v>
      </c>
      <c r="F123">
        <v>6</v>
      </c>
      <c r="G123" s="3">
        <v>30902.87</v>
      </c>
      <c r="H123" s="3" t="str">
        <f t="shared" si="6"/>
        <v>Low</v>
      </c>
      <c r="I123" s="14">
        <f t="shared" ca="1" si="11"/>
        <v>73</v>
      </c>
      <c r="J123" s="15" t="str">
        <f t="shared" si="7"/>
        <v>0061</v>
      </c>
      <c r="K123">
        <f t="shared" si="8"/>
        <v>7</v>
      </c>
      <c r="L123" t="str">
        <f t="shared" si="9"/>
        <v>Apartment</v>
      </c>
      <c r="M123" s="1" t="str">
        <f t="shared" si="9"/>
        <v>Kismayo</v>
      </c>
      <c r="N123" s="1">
        <f t="shared" si="10"/>
        <v>2026</v>
      </c>
    </row>
    <row r="124" spans="1:14">
      <c r="A124" t="s">
        <v>133</v>
      </c>
      <c r="B124" s="12" t="s">
        <v>313</v>
      </c>
      <c r="C124" t="s">
        <v>5</v>
      </c>
      <c r="D124" t="s">
        <v>6</v>
      </c>
      <c r="E124">
        <v>409</v>
      </c>
      <c r="F124">
        <v>3</v>
      </c>
      <c r="G124" s="3">
        <v>347482.18</v>
      </c>
      <c r="H124" s="3" t="str">
        <f t="shared" si="6"/>
        <v>High</v>
      </c>
      <c r="I124" s="14" t="str">
        <f t="shared" ca="1" si="11"/>
        <v>Unknown</v>
      </c>
      <c r="J124" s="15" t="str">
        <f t="shared" si="7"/>
        <v>0070</v>
      </c>
      <c r="K124">
        <f t="shared" si="8"/>
        <v>9</v>
      </c>
      <c r="L124" t="str">
        <f t="shared" si="9"/>
        <v>Villa</v>
      </c>
      <c r="M124" s="1" t="str">
        <f t="shared" si="9"/>
        <v>Mogadishu</v>
      </c>
      <c r="N124" s="1" t="str">
        <f t="shared" si="10"/>
        <v>Unknown</v>
      </c>
    </row>
    <row r="125" spans="1:14">
      <c r="A125" t="s">
        <v>134</v>
      </c>
      <c r="B125" s="12">
        <v>45900</v>
      </c>
      <c r="C125" t="s">
        <v>1</v>
      </c>
      <c r="D125" t="s">
        <v>6</v>
      </c>
      <c r="E125">
        <v>116</v>
      </c>
      <c r="F125">
        <v>1</v>
      </c>
      <c r="G125" s="3">
        <v>87578.6</v>
      </c>
      <c r="H125" s="3" t="str">
        <f t="shared" si="6"/>
        <v>Low</v>
      </c>
      <c r="I125" s="14">
        <f t="shared" ca="1" si="11"/>
        <v>359</v>
      </c>
      <c r="J125" s="15" t="str">
        <f t="shared" si="7"/>
        <v>0088</v>
      </c>
      <c r="K125">
        <f t="shared" si="8"/>
        <v>9</v>
      </c>
      <c r="L125" t="str">
        <f t="shared" si="9"/>
        <v>Apartment</v>
      </c>
      <c r="M125" s="1" t="str">
        <f t="shared" si="9"/>
        <v>Mogadishu</v>
      </c>
      <c r="N125" s="1">
        <f t="shared" si="10"/>
        <v>2025</v>
      </c>
    </row>
    <row r="126" spans="1:14">
      <c r="A126" t="s">
        <v>135</v>
      </c>
      <c r="B126" s="12">
        <v>45886</v>
      </c>
      <c r="C126" t="s">
        <v>23</v>
      </c>
      <c r="D126" t="s">
        <v>4</v>
      </c>
      <c r="E126">
        <v>797</v>
      </c>
      <c r="F126">
        <v>3</v>
      </c>
      <c r="G126" s="3">
        <v>255821.08</v>
      </c>
      <c r="H126" s="3" t="str">
        <f t="shared" si="6"/>
        <v>High</v>
      </c>
      <c r="I126" s="14">
        <f t="shared" ca="1" si="11"/>
        <v>373</v>
      </c>
      <c r="J126" s="15" t="str">
        <f t="shared" si="7"/>
        <v>0120</v>
      </c>
      <c r="K126">
        <f t="shared" si="8"/>
        <v>6</v>
      </c>
      <c r="L126" t="str">
        <f t="shared" si="9"/>
        <v>Land</v>
      </c>
      <c r="M126" s="1" t="str">
        <f t="shared" si="9"/>
        <v>Baidoa</v>
      </c>
      <c r="N126" s="1">
        <f t="shared" si="10"/>
        <v>2025</v>
      </c>
    </row>
    <row r="127" spans="1:14">
      <c r="A127" t="s">
        <v>136</v>
      </c>
      <c r="B127" s="12">
        <v>45855</v>
      </c>
      <c r="C127" t="s">
        <v>5</v>
      </c>
      <c r="D127" t="s">
        <v>2</v>
      </c>
      <c r="E127">
        <v>416</v>
      </c>
      <c r="F127">
        <v>2</v>
      </c>
      <c r="G127" s="3">
        <v>359691.04</v>
      </c>
      <c r="H127" s="3" t="str">
        <f t="shared" si="6"/>
        <v>High</v>
      </c>
      <c r="I127" s="14">
        <f t="shared" ca="1" si="11"/>
        <v>404</v>
      </c>
      <c r="J127" s="15" t="str">
        <f t="shared" si="7"/>
        <v>0200</v>
      </c>
      <c r="K127">
        <f t="shared" si="8"/>
        <v>8</v>
      </c>
      <c r="L127" t="str">
        <f t="shared" si="9"/>
        <v>Villa</v>
      </c>
      <c r="M127" s="1" t="str">
        <f t="shared" si="9"/>
        <v>Hargeisa</v>
      </c>
      <c r="N127" s="1">
        <f t="shared" si="10"/>
        <v>2025</v>
      </c>
    </row>
    <row r="128" spans="1:14">
      <c r="A128" t="s">
        <v>137</v>
      </c>
      <c r="B128" s="12">
        <v>45684</v>
      </c>
      <c r="C128" t="s">
        <v>23</v>
      </c>
      <c r="D128" t="s">
        <v>6</v>
      </c>
      <c r="E128">
        <v>1034</v>
      </c>
      <c r="F128">
        <v>3</v>
      </c>
      <c r="G128" s="3">
        <v>633286.54</v>
      </c>
      <c r="H128" s="3" t="str">
        <f t="shared" si="6"/>
        <v>High</v>
      </c>
      <c r="I128" s="14">
        <f t="shared" ca="1" si="11"/>
        <v>575</v>
      </c>
      <c r="J128" s="15" t="str">
        <f t="shared" si="7"/>
        <v>0135</v>
      </c>
      <c r="K128">
        <f t="shared" si="8"/>
        <v>9</v>
      </c>
      <c r="L128" t="str">
        <f t="shared" si="9"/>
        <v>Land</v>
      </c>
      <c r="M128" s="1" t="str">
        <f t="shared" si="9"/>
        <v>Mogadishu</v>
      </c>
      <c r="N128" s="1">
        <f t="shared" si="10"/>
        <v>2025</v>
      </c>
    </row>
    <row r="129" spans="1:14">
      <c r="A129" t="s">
        <v>138</v>
      </c>
      <c r="B129" s="12">
        <v>45872</v>
      </c>
      <c r="C129" t="s">
        <v>1</v>
      </c>
      <c r="D129" t="s">
        <v>2</v>
      </c>
      <c r="E129">
        <v>85</v>
      </c>
      <c r="F129">
        <v>6</v>
      </c>
      <c r="G129" s="3">
        <v>45594.97</v>
      </c>
      <c r="H129" s="3" t="str">
        <f t="shared" si="6"/>
        <v>Low</v>
      </c>
      <c r="I129" s="14">
        <f t="shared" ca="1" si="11"/>
        <v>387</v>
      </c>
      <c r="J129" s="15" t="str">
        <f t="shared" si="7"/>
        <v>0059</v>
      </c>
      <c r="K129">
        <f t="shared" si="8"/>
        <v>8</v>
      </c>
      <c r="L129" t="str">
        <f t="shared" si="9"/>
        <v>Apartment</v>
      </c>
      <c r="M129" s="1" t="str">
        <f t="shared" si="9"/>
        <v>Hargeisa</v>
      </c>
      <c r="N129" s="1">
        <f t="shared" si="10"/>
        <v>2025</v>
      </c>
    </row>
    <row r="130" spans="1:14">
      <c r="A130" t="s">
        <v>139</v>
      </c>
      <c r="B130" s="12">
        <v>45872</v>
      </c>
      <c r="C130" t="s">
        <v>23</v>
      </c>
      <c r="D130" t="s">
        <v>6</v>
      </c>
      <c r="E130">
        <v>1050</v>
      </c>
      <c r="F130">
        <v>0</v>
      </c>
      <c r="G130" s="3">
        <v>585752.54</v>
      </c>
      <c r="H130" s="3" t="str">
        <f t="shared" ref="H130:H193" si="12">_xlfn.IFS(G130&gt;=200000,"High",G130&gt;=100000,"Medium",G130&lt;100000,"Low")</f>
        <v>High</v>
      </c>
      <c r="I130" s="14">
        <f t="shared" ca="1" si="11"/>
        <v>387</v>
      </c>
      <c r="J130" s="15" t="str">
        <f t="shared" ref="J130:J193" si="13">RIGHT(A130,4)</f>
        <v>0132</v>
      </c>
      <c r="K130">
        <f t="shared" ref="K130:K193" si="14">LEN(D130)</f>
        <v>9</v>
      </c>
      <c r="L130" t="str">
        <f t="shared" ref="L130:M193" si="15">PROPER(C130)</f>
        <v>Land</v>
      </c>
      <c r="M130" s="1" t="str">
        <f t="shared" si="15"/>
        <v>Mogadishu</v>
      </c>
      <c r="N130" s="1">
        <f t="shared" ref="N130:N193" si="16">IF(B130="Unknown","Unknown",YEAR(B130))</f>
        <v>2025</v>
      </c>
    </row>
    <row r="131" spans="1:14">
      <c r="A131" t="s">
        <v>140</v>
      </c>
      <c r="B131" s="12">
        <v>45901</v>
      </c>
      <c r="C131" t="s">
        <v>5</v>
      </c>
      <c r="D131" t="s">
        <v>6</v>
      </c>
      <c r="E131">
        <v>400</v>
      </c>
      <c r="F131">
        <v>6</v>
      </c>
      <c r="G131" s="3">
        <v>334811.99</v>
      </c>
      <c r="H131" s="3" t="str">
        <f t="shared" si="12"/>
        <v>High</v>
      </c>
      <c r="I131" s="14">
        <f t="shared" ref="I131:I194" ca="1" si="17">IF(OR(B131="Unknown",B131=""),"Unknown",TODAY()-B131)</f>
        <v>358</v>
      </c>
      <c r="J131" s="15" t="str">
        <f t="shared" si="13"/>
        <v>0069</v>
      </c>
      <c r="K131">
        <f t="shared" si="14"/>
        <v>9</v>
      </c>
      <c r="L131" t="str">
        <f t="shared" si="15"/>
        <v>Villa</v>
      </c>
      <c r="M131" s="1" t="str">
        <f t="shared" si="15"/>
        <v>Mogadishu</v>
      </c>
      <c r="N131" s="1">
        <f t="shared" si="16"/>
        <v>2025</v>
      </c>
    </row>
    <row r="132" spans="1:14">
      <c r="A132" t="s">
        <v>141</v>
      </c>
      <c r="B132" s="12">
        <v>45893</v>
      </c>
      <c r="C132" t="s">
        <v>5</v>
      </c>
      <c r="D132" t="s">
        <v>39</v>
      </c>
      <c r="E132">
        <v>205</v>
      </c>
      <c r="F132">
        <v>1</v>
      </c>
      <c r="G132" s="3">
        <v>140423.18</v>
      </c>
      <c r="H132" s="3" t="str">
        <f t="shared" si="12"/>
        <v>Medium</v>
      </c>
      <c r="I132" s="14">
        <f t="shared" ca="1" si="17"/>
        <v>366</v>
      </c>
      <c r="J132" s="15" t="str">
        <f t="shared" si="13"/>
        <v>0086</v>
      </c>
      <c r="K132">
        <f t="shared" si="14"/>
        <v>6</v>
      </c>
      <c r="L132" t="str">
        <f t="shared" si="15"/>
        <v>Villa</v>
      </c>
      <c r="M132" s="1" t="str">
        <f t="shared" si="15"/>
        <v>Garowe</v>
      </c>
      <c r="N132" s="1">
        <f t="shared" si="16"/>
        <v>2025</v>
      </c>
    </row>
    <row r="133" spans="1:14">
      <c r="A133" t="s">
        <v>142</v>
      </c>
      <c r="B133" s="12">
        <v>46114</v>
      </c>
      <c r="C133" t="s">
        <v>1</v>
      </c>
      <c r="D133" t="s">
        <v>36</v>
      </c>
      <c r="E133">
        <v>98</v>
      </c>
      <c r="F133">
        <v>6</v>
      </c>
      <c r="G133" s="3">
        <v>58990.06</v>
      </c>
      <c r="H133" s="3" t="str">
        <f t="shared" si="12"/>
        <v>Low</v>
      </c>
      <c r="I133" s="14">
        <f t="shared" ca="1" si="17"/>
        <v>145</v>
      </c>
      <c r="J133" s="15" t="str">
        <f t="shared" si="13"/>
        <v>0039</v>
      </c>
      <c r="K133">
        <f t="shared" si="14"/>
        <v>6</v>
      </c>
      <c r="L133" t="str">
        <f t="shared" si="15"/>
        <v>Apartment</v>
      </c>
      <c r="M133" s="1" t="str">
        <f t="shared" si="15"/>
        <v>Bosaso</v>
      </c>
      <c r="N133" s="1">
        <f t="shared" si="16"/>
        <v>2026</v>
      </c>
    </row>
    <row r="134" spans="1:14">
      <c r="A134" t="s">
        <v>143</v>
      </c>
      <c r="B134" s="12">
        <v>45862</v>
      </c>
      <c r="C134" t="s">
        <v>8</v>
      </c>
      <c r="D134" t="s">
        <v>6</v>
      </c>
      <c r="E134">
        <v>135</v>
      </c>
      <c r="F134">
        <v>5</v>
      </c>
      <c r="G134" s="3">
        <v>120354.21</v>
      </c>
      <c r="H134" s="3" t="str">
        <f t="shared" si="12"/>
        <v>Medium</v>
      </c>
      <c r="I134" s="14">
        <f t="shared" ca="1" si="17"/>
        <v>397</v>
      </c>
      <c r="J134" s="15" t="str">
        <f t="shared" si="13"/>
        <v>0213</v>
      </c>
      <c r="K134">
        <f t="shared" si="14"/>
        <v>9</v>
      </c>
      <c r="L134" t="str">
        <f t="shared" si="15"/>
        <v>House</v>
      </c>
      <c r="M134" s="1" t="str">
        <f t="shared" si="15"/>
        <v>Mogadishu</v>
      </c>
      <c r="N134" s="1">
        <f t="shared" si="16"/>
        <v>2025</v>
      </c>
    </row>
    <row r="135" spans="1:14">
      <c r="A135" t="s">
        <v>144</v>
      </c>
      <c r="B135" s="12">
        <v>45763</v>
      </c>
      <c r="C135" t="s">
        <v>1</v>
      </c>
      <c r="D135" t="s">
        <v>313</v>
      </c>
      <c r="E135">
        <v>64</v>
      </c>
      <c r="F135">
        <v>4</v>
      </c>
      <c r="G135" s="3">
        <v>49469.93</v>
      </c>
      <c r="H135" s="3" t="str">
        <f t="shared" si="12"/>
        <v>Low</v>
      </c>
      <c r="I135" s="14">
        <f t="shared" ca="1" si="17"/>
        <v>496</v>
      </c>
      <c r="J135" s="15" t="str">
        <f t="shared" si="13"/>
        <v>0167</v>
      </c>
      <c r="K135">
        <f t="shared" si="14"/>
        <v>7</v>
      </c>
      <c r="L135" t="str">
        <f t="shared" si="15"/>
        <v>Apartment</v>
      </c>
      <c r="M135" s="1" t="str">
        <f t="shared" si="15"/>
        <v>Unknown</v>
      </c>
      <c r="N135" s="1">
        <f t="shared" si="16"/>
        <v>2025</v>
      </c>
    </row>
    <row r="136" spans="1:14">
      <c r="A136" t="s">
        <v>145</v>
      </c>
      <c r="B136" s="12">
        <v>45756</v>
      </c>
      <c r="C136" t="s">
        <v>8</v>
      </c>
      <c r="D136" t="s">
        <v>39</v>
      </c>
      <c r="E136">
        <v>295</v>
      </c>
      <c r="F136">
        <v>1</v>
      </c>
      <c r="G136" s="3">
        <v>132570.15</v>
      </c>
      <c r="H136" s="3" t="str">
        <f t="shared" si="12"/>
        <v>Medium</v>
      </c>
      <c r="I136" s="14">
        <f t="shared" ca="1" si="17"/>
        <v>503</v>
      </c>
      <c r="J136" s="15" t="str">
        <f t="shared" si="13"/>
        <v>0097</v>
      </c>
      <c r="K136">
        <f t="shared" si="14"/>
        <v>6</v>
      </c>
      <c r="L136" t="str">
        <f t="shared" si="15"/>
        <v>House</v>
      </c>
      <c r="M136" s="1" t="str">
        <f t="shared" si="15"/>
        <v>Garowe</v>
      </c>
      <c r="N136" s="1">
        <f t="shared" si="16"/>
        <v>2025</v>
      </c>
    </row>
    <row r="137" spans="1:14">
      <c r="A137" t="s">
        <v>146</v>
      </c>
      <c r="B137" s="12">
        <v>46113</v>
      </c>
      <c r="C137" t="s">
        <v>23</v>
      </c>
      <c r="D137" t="s">
        <v>2</v>
      </c>
      <c r="E137">
        <v>343</v>
      </c>
      <c r="F137">
        <v>0</v>
      </c>
      <c r="G137" s="3">
        <v>169312.89</v>
      </c>
      <c r="H137" s="3" t="str">
        <f t="shared" si="12"/>
        <v>Medium</v>
      </c>
      <c r="I137" s="14">
        <f t="shared" ca="1" si="17"/>
        <v>146</v>
      </c>
      <c r="J137" s="15" t="str">
        <f t="shared" si="13"/>
        <v>0210</v>
      </c>
      <c r="K137">
        <f t="shared" si="14"/>
        <v>8</v>
      </c>
      <c r="L137" t="str">
        <f t="shared" si="15"/>
        <v>Land</v>
      </c>
      <c r="M137" s="1" t="str">
        <f t="shared" si="15"/>
        <v>Hargeisa</v>
      </c>
      <c r="N137" s="1">
        <f t="shared" si="16"/>
        <v>2026</v>
      </c>
    </row>
    <row r="138" spans="1:14">
      <c r="A138" t="s">
        <v>147</v>
      </c>
      <c r="B138" s="12">
        <v>45955</v>
      </c>
      <c r="C138" t="s">
        <v>313</v>
      </c>
      <c r="D138" t="s">
        <v>2</v>
      </c>
      <c r="E138">
        <v>149</v>
      </c>
      <c r="F138">
        <v>4</v>
      </c>
      <c r="G138" s="3">
        <v>99636.1</v>
      </c>
      <c r="H138" s="3" t="str">
        <f t="shared" si="12"/>
        <v>Low</v>
      </c>
      <c r="I138" s="14">
        <f t="shared" ca="1" si="17"/>
        <v>304</v>
      </c>
      <c r="J138" s="15" t="str">
        <f t="shared" si="13"/>
        <v>0117</v>
      </c>
      <c r="K138">
        <f t="shared" si="14"/>
        <v>8</v>
      </c>
      <c r="L138" t="str">
        <f t="shared" si="15"/>
        <v>Unknown</v>
      </c>
      <c r="M138" s="1" t="str">
        <f t="shared" si="15"/>
        <v>Hargeisa</v>
      </c>
      <c r="N138" s="1">
        <f t="shared" si="16"/>
        <v>2025</v>
      </c>
    </row>
    <row r="139" spans="1:14">
      <c r="A139" t="s">
        <v>148</v>
      </c>
      <c r="B139" s="12">
        <v>46225</v>
      </c>
      <c r="C139" t="s">
        <v>5</v>
      </c>
      <c r="D139" t="s">
        <v>2</v>
      </c>
      <c r="E139">
        <v>307</v>
      </c>
      <c r="F139">
        <v>1</v>
      </c>
      <c r="G139" s="3">
        <v>236948.43</v>
      </c>
      <c r="H139" s="3" t="str">
        <f t="shared" si="12"/>
        <v>High</v>
      </c>
      <c r="I139" s="14">
        <f t="shared" ca="1" si="17"/>
        <v>34</v>
      </c>
      <c r="J139" s="15" t="str">
        <f t="shared" si="13"/>
        <v>0130</v>
      </c>
      <c r="K139">
        <f t="shared" si="14"/>
        <v>8</v>
      </c>
      <c r="L139" t="str">
        <f t="shared" si="15"/>
        <v>Villa</v>
      </c>
      <c r="M139" s="1" t="str">
        <f t="shared" si="15"/>
        <v>Hargeisa</v>
      </c>
      <c r="N139" s="1">
        <f t="shared" si="16"/>
        <v>2026</v>
      </c>
    </row>
    <row r="140" spans="1:14">
      <c r="A140" t="s">
        <v>149</v>
      </c>
      <c r="B140" s="12">
        <v>45673</v>
      </c>
      <c r="C140" t="s">
        <v>23</v>
      </c>
      <c r="D140" t="s">
        <v>39</v>
      </c>
      <c r="E140">
        <v>512</v>
      </c>
      <c r="F140">
        <v>0</v>
      </c>
      <c r="G140" s="3">
        <v>207102.49</v>
      </c>
      <c r="H140" s="3" t="str">
        <f t="shared" si="12"/>
        <v>High</v>
      </c>
      <c r="I140" s="14">
        <f t="shared" ca="1" si="17"/>
        <v>586</v>
      </c>
      <c r="J140" s="15" t="str">
        <f t="shared" si="13"/>
        <v>0209</v>
      </c>
      <c r="K140">
        <f t="shared" si="14"/>
        <v>6</v>
      </c>
      <c r="L140" t="str">
        <f t="shared" si="15"/>
        <v>Land</v>
      </c>
      <c r="M140" s="1" t="str">
        <f t="shared" si="15"/>
        <v>Garowe</v>
      </c>
      <c r="N140" s="1">
        <f t="shared" si="16"/>
        <v>2025</v>
      </c>
    </row>
    <row r="141" spans="1:14">
      <c r="A141" t="s">
        <v>152</v>
      </c>
      <c r="B141" s="12">
        <v>45785</v>
      </c>
      <c r="C141" t="s">
        <v>313</v>
      </c>
      <c r="D141" t="s">
        <v>4</v>
      </c>
      <c r="E141">
        <v>144</v>
      </c>
      <c r="F141">
        <v>2</v>
      </c>
      <c r="G141" s="3">
        <v>56872.959999999999</v>
      </c>
      <c r="H141" s="3" t="str">
        <f t="shared" si="12"/>
        <v>Low</v>
      </c>
      <c r="I141" s="14">
        <f t="shared" ca="1" si="17"/>
        <v>474</v>
      </c>
      <c r="J141" s="15" t="str">
        <f t="shared" si="13"/>
        <v>0043</v>
      </c>
      <c r="K141">
        <f t="shared" si="14"/>
        <v>6</v>
      </c>
      <c r="L141" t="str">
        <f t="shared" si="15"/>
        <v>Unknown</v>
      </c>
      <c r="M141" s="1" t="str">
        <f t="shared" si="15"/>
        <v>Baidoa</v>
      </c>
      <c r="N141" s="1">
        <f t="shared" si="16"/>
        <v>2025</v>
      </c>
    </row>
    <row r="142" spans="1:14">
      <c r="A142" t="s">
        <v>153</v>
      </c>
      <c r="B142" s="12" t="s">
        <v>313</v>
      </c>
      <c r="C142" t="s">
        <v>1</v>
      </c>
      <c r="D142" t="s">
        <v>39</v>
      </c>
      <c r="E142">
        <v>113</v>
      </c>
      <c r="F142">
        <v>6</v>
      </c>
      <c r="G142" s="3">
        <v>2000022</v>
      </c>
      <c r="H142" s="3" t="str">
        <f t="shared" si="12"/>
        <v>High</v>
      </c>
      <c r="I142" s="14" t="str">
        <f t="shared" ca="1" si="17"/>
        <v>Unknown</v>
      </c>
      <c r="J142" s="15" t="str">
        <f t="shared" si="13"/>
        <v>0264</v>
      </c>
      <c r="K142">
        <f t="shared" si="14"/>
        <v>6</v>
      </c>
      <c r="L142" t="str">
        <f t="shared" si="15"/>
        <v>Apartment</v>
      </c>
      <c r="M142" s="1" t="str">
        <f t="shared" si="15"/>
        <v>Garowe</v>
      </c>
      <c r="N142" s="1" t="str">
        <f t="shared" si="16"/>
        <v>Unknown</v>
      </c>
    </row>
    <row r="143" spans="1:14">
      <c r="A143" t="s">
        <v>154</v>
      </c>
      <c r="B143" s="12">
        <v>45987</v>
      </c>
      <c r="C143" t="s">
        <v>1</v>
      </c>
      <c r="D143" t="s">
        <v>313</v>
      </c>
      <c r="E143">
        <v>114</v>
      </c>
      <c r="F143">
        <v>2</v>
      </c>
      <c r="G143" s="3">
        <v>71507.08</v>
      </c>
      <c r="H143" s="3" t="str">
        <f t="shared" si="12"/>
        <v>Low</v>
      </c>
      <c r="I143" s="14">
        <f t="shared" ca="1" si="17"/>
        <v>272</v>
      </c>
      <c r="J143" s="15" t="str">
        <f t="shared" si="13"/>
        <v>0076</v>
      </c>
      <c r="K143">
        <f t="shared" si="14"/>
        <v>7</v>
      </c>
      <c r="L143" t="str">
        <f t="shared" si="15"/>
        <v>Apartment</v>
      </c>
      <c r="M143" s="1" t="str">
        <f t="shared" si="15"/>
        <v>Unknown</v>
      </c>
      <c r="N143" s="1">
        <f t="shared" si="16"/>
        <v>2025</v>
      </c>
    </row>
    <row r="144" spans="1:14">
      <c r="A144" t="s">
        <v>155</v>
      </c>
      <c r="B144" s="12">
        <v>45742</v>
      </c>
      <c r="C144" t="s">
        <v>313</v>
      </c>
      <c r="D144" t="s">
        <v>6</v>
      </c>
      <c r="E144">
        <v>283</v>
      </c>
      <c r="F144">
        <v>1</v>
      </c>
      <c r="G144" s="3">
        <v>194446.63</v>
      </c>
      <c r="H144" s="3" t="str">
        <f t="shared" si="12"/>
        <v>Medium</v>
      </c>
      <c r="I144" s="14">
        <f t="shared" ca="1" si="17"/>
        <v>517</v>
      </c>
      <c r="J144" s="15" t="str">
        <f t="shared" si="13"/>
        <v>0280</v>
      </c>
      <c r="K144">
        <f t="shared" si="14"/>
        <v>9</v>
      </c>
      <c r="L144" t="str">
        <f t="shared" si="15"/>
        <v>Unknown</v>
      </c>
      <c r="M144" s="1" t="str">
        <f t="shared" si="15"/>
        <v>Mogadishu</v>
      </c>
      <c r="N144" s="1">
        <f t="shared" si="16"/>
        <v>2025</v>
      </c>
    </row>
    <row r="145" spans="1:14">
      <c r="A145" t="s">
        <v>156</v>
      </c>
      <c r="B145" s="12">
        <v>45688</v>
      </c>
      <c r="C145" t="s">
        <v>1</v>
      </c>
      <c r="D145" t="s">
        <v>6</v>
      </c>
      <c r="E145">
        <v>108</v>
      </c>
      <c r="F145">
        <v>3</v>
      </c>
      <c r="G145" s="3">
        <v>100687.2</v>
      </c>
      <c r="H145" s="3" t="str">
        <f t="shared" si="12"/>
        <v>Medium</v>
      </c>
      <c r="I145" s="14">
        <f t="shared" ca="1" si="17"/>
        <v>571</v>
      </c>
      <c r="J145" s="15" t="str">
        <f t="shared" si="13"/>
        <v>0006</v>
      </c>
      <c r="K145">
        <f t="shared" si="14"/>
        <v>9</v>
      </c>
      <c r="L145" t="str">
        <f t="shared" si="15"/>
        <v>Apartment</v>
      </c>
      <c r="M145" s="1" t="str">
        <f t="shared" si="15"/>
        <v>Mogadishu</v>
      </c>
      <c r="N145" s="1">
        <f t="shared" si="16"/>
        <v>2025</v>
      </c>
    </row>
    <row r="146" spans="1:14">
      <c r="A146" t="s">
        <v>157</v>
      </c>
      <c r="B146" s="12">
        <v>46059</v>
      </c>
      <c r="C146" t="s">
        <v>8</v>
      </c>
      <c r="D146" t="s">
        <v>38</v>
      </c>
      <c r="E146">
        <v>160</v>
      </c>
      <c r="F146">
        <v>4</v>
      </c>
      <c r="G146" s="3">
        <v>67317.179999999993</v>
      </c>
      <c r="H146" s="3" t="str">
        <f t="shared" si="12"/>
        <v>Low</v>
      </c>
      <c r="I146" s="14">
        <f t="shared" ca="1" si="17"/>
        <v>200</v>
      </c>
      <c r="J146" s="15" t="str">
        <f t="shared" si="13"/>
        <v>0085</v>
      </c>
      <c r="K146">
        <f t="shared" si="14"/>
        <v>7</v>
      </c>
      <c r="L146" t="str">
        <f t="shared" si="15"/>
        <v>House</v>
      </c>
      <c r="M146" s="1" t="str">
        <f t="shared" si="15"/>
        <v>Kismayo</v>
      </c>
      <c r="N146" s="1">
        <f t="shared" si="16"/>
        <v>2026</v>
      </c>
    </row>
    <row r="147" spans="1:14">
      <c r="A147" t="s">
        <v>158</v>
      </c>
      <c r="B147" s="12">
        <v>46116</v>
      </c>
      <c r="C147" t="s">
        <v>8</v>
      </c>
      <c r="D147" t="s">
        <v>38</v>
      </c>
      <c r="E147">
        <v>295</v>
      </c>
      <c r="F147">
        <v>3</v>
      </c>
      <c r="G147" s="3">
        <v>69647.41</v>
      </c>
      <c r="H147" s="3" t="str">
        <f t="shared" si="12"/>
        <v>Low</v>
      </c>
      <c r="I147" s="14">
        <f t="shared" ca="1" si="17"/>
        <v>143</v>
      </c>
      <c r="J147" s="15" t="str">
        <f t="shared" si="13"/>
        <v>0157</v>
      </c>
      <c r="K147">
        <f t="shared" si="14"/>
        <v>7</v>
      </c>
      <c r="L147" t="str">
        <f t="shared" si="15"/>
        <v>House</v>
      </c>
      <c r="M147" s="1" t="str">
        <f t="shared" si="15"/>
        <v>Kismayo</v>
      </c>
      <c r="N147" s="1">
        <f t="shared" si="16"/>
        <v>2026</v>
      </c>
    </row>
    <row r="148" spans="1:14">
      <c r="A148" t="s">
        <v>160</v>
      </c>
      <c r="B148" s="12">
        <v>45951</v>
      </c>
      <c r="C148" t="s">
        <v>23</v>
      </c>
      <c r="D148" t="s">
        <v>4</v>
      </c>
      <c r="E148">
        <v>1037</v>
      </c>
      <c r="F148">
        <v>0</v>
      </c>
      <c r="G148" s="3">
        <v>212834.03</v>
      </c>
      <c r="H148" s="3" t="str">
        <f t="shared" si="12"/>
        <v>High</v>
      </c>
      <c r="I148" s="14">
        <f t="shared" ca="1" si="17"/>
        <v>308</v>
      </c>
      <c r="J148" s="15" t="str">
        <f t="shared" si="13"/>
        <v>0041</v>
      </c>
      <c r="K148">
        <f t="shared" si="14"/>
        <v>6</v>
      </c>
      <c r="L148" t="str">
        <f t="shared" si="15"/>
        <v>Land</v>
      </c>
      <c r="M148" s="1" t="str">
        <f t="shared" si="15"/>
        <v>Baidoa</v>
      </c>
      <c r="N148" s="1">
        <f t="shared" si="16"/>
        <v>2025</v>
      </c>
    </row>
    <row r="149" spans="1:14">
      <c r="A149" t="s">
        <v>161</v>
      </c>
      <c r="B149" s="12">
        <v>45976</v>
      </c>
      <c r="C149" t="s">
        <v>10</v>
      </c>
      <c r="D149" t="s">
        <v>38</v>
      </c>
      <c r="E149">
        <v>122</v>
      </c>
      <c r="F149">
        <v>3</v>
      </c>
      <c r="G149" s="3">
        <v>72454.350000000006</v>
      </c>
      <c r="H149" s="3" t="str">
        <f t="shared" si="12"/>
        <v>Low</v>
      </c>
      <c r="I149" s="14">
        <f t="shared" ca="1" si="17"/>
        <v>283</v>
      </c>
      <c r="J149" s="15" t="str">
        <f t="shared" si="13"/>
        <v>0115</v>
      </c>
      <c r="K149">
        <f t="shared" si="14"/>
        <v>7</v>
      </c>
      <c r="L149" t="str">
        <f t="shared" si="15"/>
        <v>Commercial</v>
      </c>
      <c r="M149" s="1" t="str">
        <f t="shared" si="15"/>
        <v>Kismayo</v>
      </c>
      <c r="N149" s="1">
        <f t="shared" si="16"/>
        <v>2025</v>
      </c>
    </row>
    <row r="150" spans="1:14">
      <c r="A150" t="s">
        <v>162</v>
      </c>
      <c r="B150" s="12">
        <v>46154</v>
      </c>
      <c r="C150" t="s">
        <v>23</v>
      </c>
      <c r="D150" t="s">
        <v>38</v>
      </c>
      <c r="E150">
        <v>522</v>
      </c>
      <c r="F150">
        <v>0</v>
      </c>
      <c r="G150" s="3">
        <v>172424.78</v>
      </c>
      <c r="H150" s="3" t="str">
        <f t="shared" si="12"/>
        <v>Medium</v>
      </c>
      <c r="I150" s="14">
        <f t="shared" ca="1" si="17"/>
        <v>105</v>
      </c>
      <c r="J150" s="15" t="str">
        <f t="shared" si="13"/>
        <v>0227</v>
      </c>
      <c r="K150">
        <f t="shared" si="14"/>
        <v>7</v>
      </c>
      <c r="L150" t="str">
        <f t="shared" si="15"/>
        <v>Land</v>
      </c>
      <c r="M150" s="1" t="str">
        <f t="shared" si="15"/>
        <v>Kismayo</v>
      </c>
      <c r="N150" s="1">
        <f t="shared" si="16"/>
        <v>2026</v>
      </c>
    </row>
    <row r="151" spans="1:14">
      <c r="A151" t="s">
        <v>163</v>
      </c>
      <c r="B151" s="12">
        <v>45772</v>
      </c>
      <c r="C151" t="s">
        <v>8</v>
      </c>
      <c r="D151" t="s">
        <v>6</v>
      </c>
      <c r="E151">
        <v>254</v>
      </c>
      <c r="F151">
        <v>3</v>
      </c>
      <c r="G151" s="3">
        <v>207891.14</v>
      </c>
      <c r="H151" s="3" t="str">
        <f t="shared" si="12"/>
        <v>High</v>
      </c>
      <c r="I151" s="14">
        <f t="shared" ca="1" si="17"/>
        <v>487</v>
      </c>
      <c r="J151" s="15" t="str">
        <f t="shared" si="13"/>
        <v>0189</v>
      </c>
      <c r="K151">
        <f t="shared" si="14"/>
        <v>9</v>
      </c>
      <c r="L151" t="str">
        <f t="shared" si="15"/>
        <v>House</v>
      </c>
      <c r="M151" s="1" t="str">
        <f t="shared" si="15"/>
        <v>Mogadishu</v>
      </c>
      <c r="N151" s="1">
        <f t="shared" si="16"/>
        <v>2025</v>
      </c>
    </row>
    <row r="152" spans="1:14">
      <c r="A152" t="s">
        <v>164</v>
      </c>
      <c r="B152" s="12">
        <v>46052</v>
      </c>
      <c r="C152" t="s">
        <v>8</v>
      </c>
      <c r="D152" t="s">
        <v>39</v>
      </c>
      <c r="E152">
        <v>266</v>
      </c>
      <c r="F152">
        <v>3</v>
      </c>
      <c r="G152" s="3">
        <v>148627.41</v>
      </c>
      <c r="H152" s="3" t="str">
        <f t="shared" si="12"/>
        <v>Medium</v>
      </c>
      <c r="I152" s="14">
        <f t="shared" ca="1" si="17"/>
        <v>207</v>
      </c>
      <c r="J152" s="15" t="str">
        <f t="shared" si="13"/>
        <v>0290</v>
      </c>
      <c r="K152">
        <f t="shared" si="14"/>
        <v>6</v>
      </c>
      <c r="L152" t="str">
        <f t="shared" si="15"/>
        <v>House</v>
      </c>
      <c r="M152" s="1" t="str">
        <f t="shared" si="15"/>
        <v>Garowe</v>
      </c>
      <c r="N152" s="1">
        <f t="shared" si="16"/>
        <v>2026</v>
      </c>
    </row>
    <row r="153" spans="1:14">
      <c r="A153" t="s">
        <v>165</v>
      </c>
      <c r="B153" s="12">
        <v>46017</v>
      </c>
      <c r="C153" t="s">
        <v>23</v>
      </c>
      <c r="D153" t="s">
        <v>4</v>
      </c>
      <c r="E153">
        <v>2005</v>
      </c>
      <c r="F153">
        <v>0</v>
      </c>
      <c r="G153" s="3">
        <v>116193.49</v>
      </c>
      <c r="H153" s="3" t="str">
        <f t="shared" si="12"/>
        <v>Medium</v>
      </c>
      <c r="I153" s="14">
        <f t="shared" ca="1" si="17"/>
        <v>242</v>
      </c>
      <c r="J153" s="15" t="str">
        <f t="shared" si="13"/>
        <v>0249</v>
      </c>
      <c r="K153">
        <f t="shared" si="14"/>
        <v>6</v>
      </c>
      <c r="L153" t="str">
        <f t="shared" si="15"/>
        <v>Land</v>
      </c>
      <c r="M153" s="1" t="str">
        <f t="shared" si="15"/>
        <v>Baidoa</v>
      </c>
      <c r="N153" s="1">
        <f t="shared" si="16"/>
        <v>2025</v>
      </c>
    </row>
    <row r="154" spans="1:14">
      <c r="A154" t="s">
        <v>166</v>
      </c>
      <c r="B154" s="12">
        <v>46183</v>
      </c>
      <c r="C154" t="s">
        <v>1</v>
      </c>
      <c r="D154" t="s">
        <v>2</v>
      </c>
      <c r="E154">
        <v>49</v>
      </c>
      <c r="F154">
        <v>4</v>
      </c>
      <c r="G154" s="3">
        <v>28456.09</v>
      </c>
      <c r="H154" s="3" t="str">
        <f t="shared" si="12"/>
        <v>Low</v>
      </c>
      <c r="I154" s="14">
        <f t="shared" ca="1" si="17"/>
        <v>76</v>
      </c>
      <c r="J154" s="15" t="str">
        <f t="shared" si="13"/>
        <v>0103</v>
      </c>
      <c r="K154">
        <f t="shared" si="14"/>
        <v>8</v>
      </c>
      <c r="L154" t="str">
        <f t="shared" si="15"/>
        <v>Apartment</v>
      </c>
      <c r="M154" s="1" t="str">
        <f t="shared" si="15"/>
        <v>Hargeisa</v>
      </c>
      <c r="N154" s="1">
        <f t="shared" si="16"/>
        <v>2026</v>
      </c>
    </row>
    <row r="155" spans="1:14">
      <c r="A155" t="s">
        <v>167</v>
      </c>
      <c r="B155" s="12">
        <v>46125</v>
      </c>
      <c r="C155" t="s">
        <v>8</v>
      </c>
      <c r="D155" t="s">
        <v>36</v>
      </c>
      <c r="E155">
        <v>295</v>
      </c>
      <c r="F155">
        <v>3</v>
      </c>
      <c r="G155" s="3">
        <v>194796.17</v>
      </c>
      <c r="H155" s="3" t="str">
        <f t="shared" si="12"/>
        <v>Medium</v>
      </c>
      <c r="I155" s="14">
        <f t="shared" ca="1" si="17"/>
        <v>134</v>
      </c>
      <c r="J155" s="15" t="str">
        <f t="shared" si="13"/>
        <v>0123</v>
      </c>
      <c r="K155">
        <f t="shared" si="14"/>
        <v>6</v>
      </c>
      <c r="L155" t="str">
        <f t="shared" si="15"/>
        <v>House</v>
      </c>
      <c r="M155" s="1" t="str">
        <f t="shared" si="15"/>
        <v>Bosaso</v>
      </c>
      <c r="N155" s="1">
        <f t="shared" si="16"/>
        <v>2026</v>
      </c>
    </row>
    <row r="156" spans="1:14">
      <c r="A156" t="s">
        <v>168</v>
      </c>
      <c r="B156" s="12">
        <v>46078</v>
      </c>
      <c r="C156" t="s">
        <v>10</v>
      </c>
      <c r="D156" t="s">
        <v>6</v>
      </c>
      <c r="E156">
        <v>81</v>
      </c>
      <c r="F156">
        <v>0</v>
      </c>
      <c r="G156" s="3">
        <v>87754.22</v>
      </c>
      <c r="H156" s="3" t="str">
        <f t="shared" si="12"/>
        <v>Low</v>
      </c>
      <c r="I156" s="14">
        <f t="shared" ca="1" si="17"/>
        <v>181</v>
      </c>
      <c r="J156" s="15" t="str">
        <f t="shared" si="13"/>
        <v>0094</v>
      </c>
      <c r="K156">
        <f t="shared" si="14"/>
        <v>9</v>
      </c>
      <c r="L156" t="str">
        <f t="shared" si="15"/>
        <v>Commercial</v>
      </c>
      <c r="M156" s="1" t="str">
        <f t="shared" si="15"/>
        <v>Mogadishu</v>
      </c>
      <c r="N156" s="1">
        <f t="shared" si="16"/>
        <v>2026</v>
      </c>
    </row>
    <row r="157" spans="1:14">
      <c r="A157" t="s">
        <v>169</v>
      </c>
      <c r="B157" s="12">
        <v>45682</v>
      </c>
      <c r="C157" t="s">
        <v>8</v>
      </c>
      <c r="D157" t="s">
        <v>39</v>
      </c>
      <c r="E157">
        <v>140</v>
      </c>
      <c r="F157">
        <v>6</v>
      </c>
      <c r="G157" s="3">
        <v>65851.66</v>
      </c>
      <c r="H157" s="3" t="str">
        <f t="shared" si="12"/>
        <v>Low</v>
      </c>
      <c r="I157" s="14">
        <f t="shared" ca="1" si="17"/>
        <v>577</v>
      </c>
      <c r="J157" s="15" t="str">
        <f t="shared" si="13"/>
        <v>0233</v>
      </c>
      <c r="K157">
        <f t="shared" si="14"/>
        <v>6</v>
      </c>
      <c r="L157" t="str">
        <f t="shared" si="15"/>
        <v>House</v>
      </c>
      <c r="M157" s="1" t="str">
        <f t="shared" si="15"/>
        <v>Garowe</v>
      </c>
      <c r="N157" s="1">
        <f t="shared" si="16"/>
        <v>2025</v>
      </c>
    </row>
    <row r="158" spans="1:14">
      <c r="A158" t="s">
        <v>170</v>
      </c>
      <c r="B158" s="12">
        <v>46120</v>
      </c>
      <c r="C158" t="s">
        <v>1</v>
      </c>
      <c r="D158" t="s">
        <v>313</v>
      </c>
      <c r="E158">
        <v>94</v>
      </c>
      <c r="F158">
        <v>2</v>
      </c>
      <c r="G158" s="3">
        <v>86384.74</v>
      </c>
      <c r="H158" s="3" t="str">
        <f t="shared" si="12"/>
        <v>Low</v>
      </c>
      <c r="I158" s="14">
        <f t="shared" ca="1" si="17"/>
        <v>139</v>
      </c>
      <c r="J158" s="15" t="str">
        <f t="shared" si="13"/>
        <v>0036</v>
      </c>
      <c r="K158">
        <f t="shared" si="14"/>
        <v>7</v>
      </c>
      <c r="L158" t="str">
        <f t="shared" si="15"/>
        <v>Apartment</v>
      </c>
      <c r="M158" s="1" t="str">
        <f t="shared" si="15"/>
        <v>Unknown</v>
      </c>
      <c r="N158" s="1">
        <f t="shared" si="16"/>
        <v>2026</v>
      </c>
    </row>
    <row r="159" spans="1:14">
      <c r="A159" t="s">
        <v>171</v>
      </c>
      <c r="B159" s="12">
        <v>45958</v>
      </c>
      <c r="C159" t="s">
        <v>1</v>
      </c>
      <c r="D159" t="s">
        <v>36</v>
      </c>
      <c r="E159">
        <v>131</v>
      </c>
      <c r="F159">
        <v>4</v>
      </c>
      <c r="G159" s="3">
        <v>178260.23</v>
      </c>
      <c r="H159" s="3" t="str">
        <f t="shared" si="12"/>
        <v>Medium</v>
      </c>
      <c r="I159" s="14">
        <f t="shared" ca="1" si="17"/>
        <v>301</v>
      </c>
      <c r="J159" s="15" t="str">
        <f t="shared" si="13"/>
        <v>0017</v>
      </c>
      <c r="K159">
        <f t="shared" si="14"/>
        <v>6</v>
      </c>
      <c r="L159" t="str">
        <f t="shared" si="15"/>
        <v>Apartment</v>
      </c>
      <c r="M159" s="1" t="str">
        <f t="shared" si="15"/>
        <v>Bosaso</v>
      </c>
      <c r="N159" s="1">
        <f t="shared" si="16"/>
        <v>2025</v>
      </c>
    </row>
    <row r="160" spans="1:14">
      <c r="A160" t="s">
        <v>172</v>
      </c>
      <c r="B160" s="12">
        <v>45937</v>
      </c>
      <c r="C160" t="s">
        <v>1</v>
      </c>
      <c r="D160" t="s">
        <v>4</v>
      </c>
      <c r="E160">
        <v>178</v>
      </c>
      <c r="F160">
        <v>6</v>
      </c>
      <c r="G160" s="3">
        <v>65079.35</v>
      </c>
      <c r="H160" s="3" t="str">
        <f t="shared" si="12"/>
        <v>Low</v>
      </c>
      <c r="I160" s="14">
        <f t="shared" ca="1" si="17"/>
        <v>322</v>
      </c>
      <c r="J160" s="15" t="str">
        <f t="shared" si="13"/>
        <v>0107</v>
      </c>
      <c r="K160">
        <f t="shared" si="14"/>
        <v>6</v>
      </c>
      <c r="L160" t="str">
        <f t="shared" si="15"/>
        <v>Apartment</v>
      </c>
      <c r="M160" s="1" t="str">
        <f t="shared" si="15"/>
        <v>Baidoa</v>
      </c>
      <c r="N160" s="1">
        <f t="shared" si="16"/>
        <v>2025</v>
      </c>
    </row>
    <row r="161" spans="1:14">
      <c r="A161" t="s">
        <v>173</v>
      </c>
      <c r="B161" s="12">
        <v>46012</v>
      </c>
      <c r="C161" t="s">
        <v>1</v>
      </c>
      <c r="D161" t="s">
        <v>36</v>
      </c>
      <c r="E161">
        <v>51</v>
      </c>
      <c r="F161">
        <v>5</v>
      </c>
      <c r="G161" s="3">
        <v>35723.39</v>
      </c>
      <c r="H161" s="3" t="str">
        <f t="shared" si="12"/>
        <v>Low</v>
      </c>
      <c r="I161" s="14">
        <f t="shared" ca="1" si="17"/>
        <v>247</v>
      </c>
      <c r="J161" s="15" t="str">
        <f t="shared" si="13"/>
        <v>0007</v>
      </c>
      <c r="K161">
        <f t="shared" si="14"/>
        <v>6</v>
      </c>
      <c r="L161" t="str">
        <f t="shared" si="15"/>
        <v>Apartment</v>
      </c>
      <c r="M161" s="1" t="str">
        <f t="shared" si="15"/>
        <v>Bosaso</v>
      </c>
      <c r="N161" s="1">
        <f t="shared" si="16"/>
        <v>2025</v>
      </c>
    </row>
    <row r="162" spans="1:14">
      <c r="A162" t="s">
        <v>175</v>
      </c>
      <c r="B162" s="12">
        <v>45671</v>
      </c>
      <c r="C162" t="s">
        <v>5</v>
      </c>
      <c r="D162" t="s">
        <v>2</v>
      </c>
      <c r="E162">
        <v>370</v>
      </c>
      <c r="F162">
        <v>3</v>
      </c>
      <c r="G162" s="3">
        <v>357812.88</v>
      </c>
      <c r="H162" s="3" t="str">
        <f t="shared" si="12"/>
        <v>High</v>
      </c>
      <c r="I162" s="14">
        <f t="shared" ca="1" si="17"/>
        <v>588</v>
      </c>
      <c r="J162" s="15" t="str">
        <f t="shared" si="13"/>
        <v>0239</v>
      </c>
      <c r="K162">
        <f t="shared" si="14"/>
        <v>8</v>
      </c>
      <c r="L162" t="str">
        <f t="shared" si="15"/>
        <v>Villa</v>
      </c>
      <c r="M162" s="1" t="str">
        <f t="shared" si="15"/>
        <v>Hargeisa</v>
      </c>
      <c r="N162" s="1">
        <f t="shared" si="16"/>
        <v>2025</v>
      </c>
    </row>
    <row r="163" spans="1:14">
      <c r="A163" t="s">
        <v>176</v>
      </c>
      <c r="B163" s="12">
        <v>45779</v>
      </c>
      <c r="C163" t="s">
        <v>313</v>
      </c>
      <c r="D163" t="s">
        <v>6</v>
      </c>
      <c r="E163">
        <v>119</v>
      </c>
      <c r="F163">
        <v>2</v>
      </c>
      <c r="G163" s="3">
        <v>114645.92</v>
      </c>
      <c r="H163" s="3" t="str">
        <f t="shared" si="12"/>
        <v>Medium</v>
      </c>
      <c r="I163" s="14">
        <f t="shared" ca="1" si="17"/>
        <v>480</v>
      </c>
      <c r="J163" s="15" t="str">
        <f t="shared" si="13"/>
        <v>0058</v>
      </c>
      <c r="K163">
        <f t="shared" si="14"/>
        <v>9</v>
      </c>
      <c r="L163" t="str">
        <f t="shared" si="15"/>
        <v>Unknown</v>
      </c>
      <c r="M163" s="1" t="str">
        <f t="shared" si="15"/>
        <v>Mogadishu</v>
      </c>
      <c r="N163" s="1">
        <f t="shared" si="16"/>
        <v>2025</v>
      </c>
    </row>
    <row r="164" spans="1:14">
      <c r="A164" t="s">
        <v>177</v>
      </c>
      <c r="B164" s="12">
        <v>45955</v>
      </c>
      <c r="C164" t="s">
        <v>8</v>
      </c>
      <c r="D164" t="s">
        <v>2</v>
      </c>
      <c r="E164">
        <v>225</v>
      </c>
      <c r="F164">
        <v>4</v>
      </c>
      <c r="G164" s="3">
        <v>122019.88</v>
      </c>
      <c r="H164" s="3" t="str">
        <f t="shared" si="12"/>
        <v>Medium</v>
      </c>
      <c r="I164" s="14">
        <f t="shared" ca="1" si="17"/>
        <v>304</v>
      </c>
      <c r="J164" s="15" t="str">
        <f t="shared" si="13"/>
        <v>0178</v>
      </c>
      <c r="K164">
        <f t="shared" si="14"/>
        <v>8</v>
      </c>
      <c r="L164" t="str">
        <f t="shared" si="15"/>
        <v>House</v>
      </c>
      <c r="M164" s="1" t="str">
        <f t="shared" si="15"/>
        <v>Hargeisa</v>
      </c>
      <c r="N164" s="1">
        <f t="shared" si="16"/>
        <v>2025</v>
      </c>
    </row>
    <row r="165" spans="1:14">
      <c r="A165" t="s">
        <v>178</v>
      </c>
      <c r="B165" s="12">
        <v>45877</v>
      </c>
      <c r="C165" t="s">
        <v>8</v>
      </c>
      <c r="D165" t="s">
        <v>4</v>
      </c>
      <c r="E165">
        <v>220</v>
      </c>
      <c r="F165">
        <v>2</v>
      </c>
      <c r="G165" s="3">
        <v>178260.23</v>
      </c>
      <c r="H165" s="3" t="str">
        <f t="shared" si="12"/>
        <v>Medium</v>
      </c>
      <c r="I165" s="14">
        <f t="shared" ca="1" si="17"/>
        <v>382</v>
      </c>
      <c r="J165" s="15" t="str">
        <f t="shared" si="13"/>
        <v>0133</v>
      </c>
      <c r="K165">
        <f t="shared" si="14"/>
        <v>6</v>
      </c>
      <c r="L165" t="str">
        <f t="shared" si="15"/>
        <v>House</v>
      </c>
      <c r="M165" s="1" t="str">
        <f t="shared" si="15"/>
        <v>Baidoa</v>
      </c>
      <c r="N165" s="1">
        <f t="shared" si="16"/>
        <v>2025</v>
      </c>
    </row>
    <row r="166" spans="1:14">
      <c r="A166" t="s">
        <v>179</v>
      </c>
      <c r="B166" s="12">
        <v>45904</v>
      </c>
      <c r="C166" t="s">
        <v>313</v>
      </c>
      <c r="D166" t="s">
        <v>4</v>
      </c>
      <c r="E166">
        <v>267</v>
      </c>
      <c r="F166">
        <v>6</v>
      </c>
      <c r="G166" s="3">
        <v>156264.57</v>
      </c>
      <c r="H166" s="3" t="str">
        <f t="shared" si="12"/>
        <v>Medium</v>
      </c>
      <c r="I166" s="14">
        <f t="shared" ca="1" si="17"/>
        <v>355</v>
      </c>
      <c r="J166" s="15" t="str">
        <f t="shared" si="13"/>
        <v>0164</v>
      </c>
      <c r="K166">
        <f t="shared" si="14"/>
        <v>6</v>
      </c>
      <c r="L166" t="str">
        <f t="shared" si="15"/>
        <v>Unknown</v>
      </c>
      <c r="M166" s="1" t="str">
        <f t="shared" si="15"/>
        <v>Baidoa</v>
      </c>
      <c r="N166" s="1">
        <f t="shared" si="16"/>
        <v>2025</v>
      </c>
    </row>
    <row r="167" spans="1:14">
      <c r="A167" t="s">
        <v>180</v>
      </c>
      <c r="B167" s="12">
        <v>46074</v>
      </c>
      <c r="C167" t="s">
        <v>23</v>
      </c>
      <c r="D167" t="s">
        <v>6</v>
      </c>
      <c r="E167">
        <v>612</v>
      </c>
      <c r="F167">
        <v>0</v>
      </c>
      <c r="G167" s="3">
        <v>349661.86</v>
      </c>
      <c r="H167" s="3" t="str">
        <f t="shared" si="12"/>
        <v>High</v>
      </c>
      <c r="I167" s="14">
        <f t="shared" ca="1" si="17"/>
        <v>185</v>
      </c>
      <c r="J167" s="15" t="str">
        <f t="shared" si="13"/>
        <v>0008</v>
      </c>
      <c r="K167">
        <f t="shared" si="14"/>
        <v>9</v>
      </c>
      <c r="L167" t="str">
        <f t="shared" si="15"/>
        <v>Land</v>
      </c>
      <c r="M167" s="1" t="str">
        <f t="shared" si="15"/>
        <v>Mogadishu</v>
      </c>
      <c r="N167" s="1">
        <f t="shared" si="16"/>
        <v>2026</v>
      </c>
    </row>
    <row r="168" spans="1:14">
      <c r="A168" t="s">
        <v>181</v>
      </c>
      <c r="B168" s="12">
        <v>46195</v>
      </c>
      <c r="C168" t="s">
        <v>1</v>
      </c>
      <c r="D168" t="s">
        <v>2</v>
      </c>
      <c r="E168">
        <v>130</v>
      </c>
      <c r="F168">
        <v>3</v>
      </c>
      <c r="G168" s="3">
        <v>80759.42</v>
      </c>
      <c r="H168" s="3" t="str">
        <f t="shared" si="12"/>
        <v>Low</v>
      </c>
      <c r="I168" s="14">
        <f t="shared" ca="1" si="17"/>
        <v>64</v>
      </c>
      <c r="J168" s="15" t="str">
        <f t="shared" si="13"/>
        <v>0231</v>
      </c>
      <c r="K168">
        <f t="shared" si="14"/>
        <v>8</v>
      </c>
      <c r="L168" t="str">
        <f t="shared" si="15"/>
        <v>Apartment</v>
      </c>
      <c r="M168" s="1" t="str">
        <f t="shared" si="15"/>
        <v>Hargeisa</v>
      </c>
      <c r="N168" s="1">
        <f t="shared" si="16"/>
        <v>2026</v>
      </c>
    </row>
    <row r="169" spans="1:14">
      <c r="A169" t="s">
        <v>182</v>
      </c>
      <c r="B169" s="12" t="s">
        <v>313</v>
      </c>
      <c r="C169" t="s">
        <v>1</v>
      </c>
      <c r="D169" t="s">
        <v>6</v>
      </c>
      <c r="E169">
        <v>157</v>
      </c>
      <c r="F169">
        <v>6</v>
      </c>
      <c r="G169" s="3">
        <v>136989.97</v>
      </c>
      <c r="H169" s="3" t="str">
        <f t="shared" si="12"/>
        <v>Medium</v>
      </c>
      <c r="I169" s="14" t="str">
        <f t="shared" ca="1" si="17"/>
        <v>Unknown</v>
      </c>
      <c r="J169" s="15" t="str">
        <f t="shared" si="13"/>
        <v>0111</v>
      </c>
      <c r="K169">
        <f t="shared" si="14"/>
        <v>9</v>
      </c>
      <c r="L169" t="str">
        <f t="shared" si="15"/>
        <v>Apartment</v>
      </c>
      <c r="M169" s="1" t="str">
        <f t="shared" si="15"/>
        <v>Mogadishu</v>
      </c>
      <c r="N169" s="1" t="str">
        <f t="shared" si="16"/>
        <v>Unknown</v>
      </c>
    </row>
    <row r="170" spans="1:14">
      <c r="A170" t="s">
        <v>183</v>
      </c>
      <c r="B170" s="12">
        <v>45723</v>
      </c>
      <c r="C170" t="s">
        <v>1</v>
      </c>
      <c r="D170" t="s">
        <v>4</v>
      </c>
      <c r="E170">
        <v>173</v>
      </c>
      <c r="F170">
        <v>3</v>
      </c>
      <c r="G170" s="3">
        <v>82765.759999999995</v>
      </c>
      <c r="H170" s="3" t="str">
        <f t="shared" si="12"/>
        <v>Low</v>
      </c>
      <c r="I170" s="14">
        <f t="shared" ca="1" si="17"/>
        <v>536</v>
      </c>
      <c r="J170" s="15" t="str">
        <f t="shared" si="13"/>
        <v>0257</v>
      </c>
      <c r="K170">
        <f t="shared" si="14"/>
        <v>6</v>
      </c>
      <c r="L170" t="str">
        <f t="shared" si="15"/>
        <v>Apartment</v>
      </c>
      <c r="M170" s="1" t="str">
        <f t="shared" si="15"/>
        <v>Baidoa</v>
      </c>
      <c r="N170" s="1">
        <f t="shared" si="16"/>
        <v>2025</v>
      </c>
    </row>
    <row r="171" spans="1:14">
      <c r="A171" t="s">
        <v>184</v>
      </c>
      <c r="B171" s="12">
        <v>46116</v>
      </c>
      <c r="C171" t="s">
        <v>1</v>
      </c>
      <c r="D171" t="s">
        <v>6</v>
      </c>
      <c r="E171">
        <v>96</v>
      </c>
      <c r="F171">
        <v>2</v>
      </c>
      <c r="G171" s="3">
        <v>178260.23</v>
      </c>
      <c r="H171" s="3" t="str">
        <f t="shared" si="12"/>
        <v>Medium</v>
      </c>
      <c r="I171" s="14">
        <f t="shared" ca="1" si="17"/>
        <v>143</v>
      </c>
      <c r="J171" s="15" t="str">
        <f t="shared" si="13"/>
        <v>0093</v>
      </c>
      <c r="K171">
        <f t="shared" si="14"/>
        <v>9</v>
      </c>
      <c r="L171" t="str">
        <f t="shared" si="15"/>
        <v>Apartment</v>
      </c>
      <c r="M171" s="1" t="str">
        <f t="shared" si="15"/>
        <v>Mogadishu</v>
      </c>
      <c r="N171" s="1">
        <f t="shared" si="16"/>
        <v>2026</v>
      </c>
    </row>
    <row r="172" spans="1:14">
      <c r="A172" t="s">
        <v>185</v>
      </c>
      <c r="B172" s="12">
        <v>45977</v>
      </c>
      <c r="C172" t="s">
        <v>1</v>
      </c>
      <c r="D172" t="s">
        <v>2</v>
      </c>
      <c r="E172">
        <v>80</v>
      </c>
      <c r="F172">
        <v>3</v>
      </c>
      <c r="G172" s="3">
        <v>47609.54</v>
      </c>
      <c r="H172" s="3" t="str">
        <f t="shared" si="12"/>
        <v>Low</v>
      </c>
      <c r="I172" s="14">
        <f t="shared" ca="1" si="17"/>
        <v>282</v>
      </c>
      <c r="J172" s="15" t="str">
        <f t="shared" si="13"/>
        <v>0251</v>
      </c>
      <c r="K172">
        <f t="shared" si="14"/>
        <v>8</v>
      </c>
      <c r="L172" t="str">
        <f t="shared" si="15"/>
        <v>Apartment</v>
      </c>
      <c r="M172" s="1" t="str">
        <f t="shared" si="15"/>
        <v>Hargeisa</v>
      </c>
      <c r="N172" s="1">
        <f t="shared" si="16"/>
        <v>2025</v>
      </c>
    </row>
    <row r="173" spans="1:14">
      <c r="A173" t="s">
        <v>186</v>
      </c>
      <c r="B173" s="12" t="s">
        <v>313</v>
      </c>
      <c r="C173" t="s">
        <v>1</v>
      </c>
      <c r="D173" t="s">
        <v>6</v>
      </c>
      <c r="E173">
        <v>120</v>
      </c>
      <c r="F173">
        <v>6</v>
      </c>
      <c r="G173" s="3">
        <v>93224.61</v>
      </c>
      <c r="H173" s="3" t="str">
        <f t="shared" si="12"/>
        <v>Low</v>
      </c>
      <c r="I173" s="14" t="str">
        <f t="shared" ca="1" si="17"/>
        <v>Unknown</v>
      </c>
      <c r="J173" s="15" t="str">
        <f t="shared" si="13"/>
        <v>0291</v>
      </c>
      <c r="K173">
        <f t="shared" si="14"/>
        <v>9</v>
      </c>
      <c r="L173" t="str">
        <f t="shared" si="15"/>
        <v>Apartment</v>
      </c>
      <c r="M173" s="1" t="str">
        <f t="shared" si="15"/>
        <v>Mogadishu</v>
      </c>
      <c r="N173" s="1" t="str">
        <f t="shared" si="16"/>
        <v>Unknown</v>
      </c>
    </row>
    <row r="174" spans="1:14">
      <c r="A174" t="s">
        <v>187</v>
      </c>
      <c r="B174" s="12">
        <v>46202</v>
      </c>
      <c r="C174" t="s">
        <v>5</v>
      </c>
      <c r="D174" t="s">
        <v>6</v>
      </c>
      <c r="E174">
        <v>218</v>
      </c>
      <c r="F174">
        <v>1</v>
      </c>
      <c r="G174" s="3">
        <v>181066.84</v>
      </c>
      <c r="H174" s="3" t="str">
        <f t="shared" si="12"/>
        <v>Medium</v>
      </c>
      <c r="I174" s="14">
        <f t="shared" ca="1" si="17"/>
        <v>57</v>
      </c>
      <c r="J174" s="15" t="str">
        <f t="shared" si="13"/>
        <v>0171</v>
      </c>
      <c r="K174">
        <f t="shared" si="14"/>
        <v>9</v>
      </c>
      <c r="L174" t="str">
        <f t="shared" si="15"/>
        <v>Villa</v>
      </c>
      <c r="M174" s="1" t="str">
        <f t="shared" si="15"/>
        <v>Mogadishu</v>
      </c>
      <c r="N174" s="1">
        <f t="shared" si="16"/>
        <v>2026</v>
      </c>
    </row>
    <row r="175" spans="1:14">
      <c r="A175" t="s">
        <v>188</v>
      </c>
      <c r="B175" s="12">
        <v>46207</v>
      </c>
      <c r="C175" t="s">
        <v>8</v>
      </c>
      <c r="D175" t="s">
        <v>6</v>
      </c>
      <c r="E175">
        <v>113</v>
      </c>
      <c r="F175">
        <v>5</v>
      </c>
      <c r="G175" s="3">
        <v>87690.72</v>
      </c>
      <c r="H175" s="3" t="str">
        <f t="shared" si="12"/>
        <v>Low</v>
      </c>
      <c r="I175" s="14">
        <f t="shared" ca="1" si="17"/>
        <v>52</v>
      </c>
      <c r="J175" s="15" t="str">
        <f t="shared" si="13"/>
        <v>0087</v>
      </c>
      <c r="K175">
        <f t="shared" si="14"/>
        <v>9</v>
      </c>
      <c r="L175" t="str">
        <f t="shared" si="15"/>
        <v>House</v>
      </c>
      <c r="M175" s="1" t="str">
        <f t="shared" si="15"/>
        <v>Mogadishu</v>
      </c>
      <c r="N175" s="1">
        <f t="shared" si="16"/>
        <v>2026</v>
      </c>
    </row>
    <row r="176" spans="1:14">
      <c r="A176" t="s">
        <v>189</v>
      </c>
      <c r="B176" s="12">
        <v>45726</v>
      </c>
      <c r="C176" t="s">
        <v>8</v>
      </c>
      <c r="D176" t="s">
        <v>6</v>
      </c>
      <c r="E176">
        <v>295</v>
      </c>
      <c r="F176">
        <v>5</v>
      </c>
      <c r="G176" s="3">
        <v>291714.15999999997</v>
      </c>
      <c r="H176" s="3" t="str">
        <f t="shared" si="12"/>
        <v>High</v>
      </c>
      <c r="I176" s="14">
        <f t="shared" ca="1" si="17"/>
        <v>533</v>
      </c>
      <c r="J176" s="15" t="str">
        <f t="shared" si="13"/>
        <v>0203</v>
      </c>
      <c r="K176">
        <f t="shared" si="14"/>
        <v>9</v>
      </c>
      <c r="L176" t="str">
        <f t="shared" si="15"/>
        <v>House</v>
      </c>
      <c r="M176" s="1" t="str">
        <f t="shared" si="15"/>
        <v>Mogadishu</v>
      </c>
      <c r="N176" s="1">
        <f t="shared" si="16"/>
        <v>2025</v>
      </c>
    </row>
    <row r="177" spans="1:14">
      <c r="A177" t="s">
        <v>190</v>
      </c>
      <c r="B177" s="12">
        <v>45746</v>
      </c>
      <c r="C177" t="s">
        <v>8</v>
      </c>
      <c r="D177" t="s">
        <v>38</v>
      </c>
      <c r="E177">
        <v>104</v>
      </c>
      <c r="F177">
        <v>2</v>
      </c>
      <c r="G177" s="3">
        <v>44255.44</v>
      </c>
      <c r="H177" s="3" t="str">
        <f t="shared" si="12"/>
        <v>Low</v>
      </c>
      <c r="I177" s="14">
        <f t="shared" ca="1" si="17"/>
        <v>513</v>
      </c>
      <c r="J177" s="15" t="str">
        <f t="shared" si="13"/>
        <v>0134</v>
      </c>
      <c r="K177">
        <f t="shared" si="14"/>
        <v>7</v>
      </c>
      <c r="L177" t="str">
        <f t="shared" si="15"/>
        <v>House</v>
      </c>
      <c r="M177" s="1" t="str">
        <f t="shared" si="15"/>
        <v>Kismayo</v>
      </c>
      <c r="N177" s="1">
        <f t="shared" si="16"/>
        <v>2025</v>
      </c>
    </row>
    <row r="178" spans="1:14">
      <c r="A178" t="s">
        <v>191</v>
      </c>
      <c r="B178" s="12">
        <v>45798</v>
      </c>
      <c r="C178" t="s">
        <v>8</v>
      </c>
      <c r="D178" t="s">
        <v>313</v>
      </c>
      <c r="E178">
        <v>141</v>
      </c>
      <c r="F178">
        <v>3</v>
      </c>
      <c r="G178" s="3">
        <v>75550.36</v>
      </c>
      <c r="H178" s="3" t="str">
        <f t="shared" si="12"/>
        <v>Low</v>
      </c>
      <c r="I178" s="14">
        <f t="shared" ca="1" si="17"/>
        <v>461</v>
      </c>
      <c r="J178" s="15" t="str">
        <f t="shared" si="13"/>
        <v>0151</v>
      </c>
      <c r="K178">
        <f t="shared" si="14"/>
        <v>7</v>
      </c>
      <c r="L178" t="str">
        <f t="shared" si="15"/>
        <v>House</v>
      </c>
      <c r="M178" s="1" t="str">
        <f t="shared" si="15"/>
        <v>Unknown</v>
      </c>
      <c r="N178" s="1">
        <f t="shared" si="16"/>
        <v>2025</v>
      </c>
    </row>
    <row r="179" spans="1:14">
      <c r="A179" t="s">
        <v>192</v>
      </c>
      <c r="B179" s="12" t="s">
        <v>313</v>
      </c>
      <c r="C179" t="s">
        <v>23</v>
      </c>
      <c r="D179" t="s">
        <v>6</v>
      </c>
      <c r="E179">
        <v>480</v>
      </c>
      <c r="F179">
        <v>0</v>
      </c>
      <c r="G179" s="3">
        <v>258804.07</v>
      </c>
      <c r="H179" s="3" t="str">
        <f t="shared" si="12"/>
        <v>High</v>
      </c>
      <c r="I179" s="14" t="str">
        <f t="shared" ca="1" si="17"/>
        <v>Unknown</v>
      </c>
      <c r="J179" s="15" t="str">
        <f t="shared" si="13"/>
        <v>0042</v>
      </c>
      <c r="K179">
        <f t="shared" si="14"/>
        <v>9</v>
      </c>
      <c r="L179" t="str">
        <f t="shared" si="15"/>
        <v>Land</v>
      </c>
      <c r="M179" s="1" t="str">
        <f t="shared" si="15"/>
        <v>Mogadishu</v>
      </c>
      <c r="N179" s="1" t="str">
        <f t="shared" si="16"/>
        <v>Unknown</v>
      </c>
    </row>
    <row r="180" spans="1:14">
      <c r="A180" t="s">
        <v>193</v>
      </c>
      <c r="B180" s="12">
        <v>46048</v>
      </c>
      <c r="C180" t="s">
        <v>5</v>
      </c>
      <c r="D180" t="s">
        <v>38</v>
      </c>
      <c r="E180">
        <v>433</v>
      </c>
      <c r="F180">
        <v>3</v>
      </c>
      <c r="G180" s="3">
        <v>273035.81</v>
      </c>
      <c r="H180" s="3" t="str">
        <f t="shared" si="12"/>
        <v>High</v>
      </c>
      <c r="I180" s="14">
        <f t="shared" ca="1" si="17"/>
        <v>211</v>
      </c>
      <c r="J180" s="15" t="str">
        <f t="shared" si="13"/>
        <v>0235</v>
      </c>
      <c r="K180">
        <f t="shared" si="14"/>
        <v>7</v>
      </c>
      <c r="L180" t="str">
        <f t="shared" si="15"/>
        <v>Villa</v>
      </c>
      <c r="M180" s="1" t="str">
        <f t="shared" si="15"/>
        <v>Kismayo</v>
      </c>
      <c r="N180" s="1">
        <f t="shared" si="16"/>
        <v>2026</v>
      </c>
    </row>
    <row r="181" spans="1:14">
      <c r="A181" t="s">
        <v>194</v>
      </c>
      <c r="B181" s="12">
        <v>45710</v>
      </c>
      <c r="C181" t="s">
        <v>5</v>
      </c>
      <c r="D181" t="s">
        <v>6</v>
      </c>
      <c r="E181">
        <v>353</v>
      </c>
      <c r="F181">
        <v>5</v>
      </c>
      <c r="G181" s="3">
        <v>367511.3</v>
      </c>
      <c r="H181" s="3" t="str">
        <f t="shared" si="12"/>
        <v>High</v>
      </c>
      <c r="I181" s="14">
        <f t="shared" ca="1" si="17"/>
        <v>549</v>
      </c>
      <c r="J181" s="15" t="str">
        <f t="shared" si="13"/>
        <v>0125</v>
      </c>
      <c r="K181">
        <f t="shared" si="14"/>
        <v>9</v>
      </c>
      <c r="L181" t="str">
        <f t="shared" si="15"/>
        <v>Villa</v>
      </c>
      <c r="M181" s="1" t="str">
        <f t="shared" si="15"/>
        <v>Mogadishu</v>
      </c>
      <c r="N181" s="1">
        <f t="shared" si="16"/>
        <v>2025</v>
      </c>
    </row>
    <row r="182" spans="1:14">
      <c r="A182" t="s">
        <v>195</v>
      </c>
      <c r="B182" s="12" t="s">
        <v>313</v>
      </c>
      <c r="C182" t="s">
        <v>23</v>
      </c>
      <c r="D182" t="s">
        <v>2</v>
      </c>
      <c r="E182">
        <v>533</v>
      </c>
      <c r="F182">
        <v>0</v>
      </c>
      <c r="G182" s="3">
        <v>245953.75</v>
      </c>
      <c r="H182" s="3" t="str">
        <f t="shared" si="12"/>
        <v>High</v>
      </c>
      <c r="I182" s="14" t="str">
        <f t="shared" ca="1" si="17"/>
        <v>Unknown</v>
      </c>
      <c r="J182" s="15" t="str">
        <f t="shared" si="13"/>
        <v>0128</v>
      </c>
      <c r="K182">
        <f t="shared" si="14"/>
        <v>8</v>
      </c>
      <c r="L182" t="str">
        <f t="shared" si="15"/>
        <v>Land</v>
      </c>
      <c r="M182" s="1" t="str">
        <f t="shared" si="15"/>
        <v>Hargeisa</v>
      </c>
      <c r="N182" s="1" t="str">
        <f t="shared" si="16"/>
        <v>Unknown</v>
      </c>
    </row>
    <row r="183" spans="1:14">
      <c r="A183" t="s">
        <v>196</v>
      </c>
      <c r="B183" s="12" t="s">
        <v>313</v>
      </c>
      <c r="C183" t="s">
        <v>23</v>
      </c>
      <c r="D183" t="s">
        <v>313</v>
      </c>
      <c r="E183">
        <v>711</v>
      </c>
      <c r="F183">
        <v>0</v>
      </c>
      <c r="G183" s="3">
        <v>309908.96000000002</v>
      </c>
      <c r="H183" s="3" t="str">
        <f t="shared" si="12"/>
        <v>High</v>
      </c>
      <c r="I183" s="14" t="str">
        <f t="shared" ca="1" si="17"/>
        <v>Unknown</v>
      </c>
      <c r="J183" s="15" t="str">
        <f t="shared" si="13"/>
        <v>0119</v>
      </c>
      <c r="K183">
        <f t="shared" si="14"/>
        <v>7</v>
      </c>
      <c r="L183" t="str">
        <f t="shared" si="15"/>
        <v>Land</v>
      </c>
      <c r="M183" s="1" t="str">
        <f t="shared" si="15"/>
        <v>Unknown</v>
      </c>
      <c r="N183" s="1" t="str">
        <f t="shared" si="16"/>
        <v>Unknown</v>
      </c>
    </row>
    <row r="184" spans="1:14">
      <c r="A184" t="s">
        <v>197</v>
      </c>
      <c r="B184" s="12">
        <v>45934</v>
      </c>
      <c r="C184" t="s">
        <v>23</v>
      </c>
      <c r="D184" t="s">
        <v>313</v>
      </c>
      <c r="E184">
        <v>553</v>
      </c>
      <c r="F184">
        <v>0</v>
      </c>
      <c r="G184" s="3">
        <v>128577.67</v>
      </c>
      <c r="H184" s="3" t="str">
        <f t="shared" si="12"/>
        <v>Medium</v>
      </c>
      <c r="I184" s="14">
        <f t="shared" ca="1" si="17"/>
        <v>325</v>
      </c>
      <c r="J184" s="15" t="str">
        <f t="shared" si="13"/>
        <v>0060</v>
      </c>
      <c r="K184">
        <f t="shared" si="14"/>
        <v>7</v>
      </c>
      <c r="L184" t="str">
        <f t="shared" si="15"/>
        <v>Land</v>
      </c>
      <c r="M184" s="1" t="str">
        <f t="shared" si="15"/>
        <v>Unknown</v>
      </c>
      <c r="N184" s="1">
        <f t="shared" si="16"/>
        <v>2025</v>
      </c>
    </row>
    <row r="185" spans="1:14">
      <c r="A185" t="s">
        <v>198</v>
      </c>
      <c r="B185" s="12">
        <v>46209</v>
      </c>
      <c r="C185" t="s">
        <v>8</v>
      </c>
      <c r="D185" t="s">
        <v>6</v>
      </c>
      <c r="E185">
        <v>288</v>
      </c>
      <c r="F185">
        <v>4</v>
      </c>
      <c r="G185" s="3">
        <v>178260.23</v>
      </c>
      <c r="H185" s="3" t="str">
        <f t="shared" si="12"/>
        <v>Medium</v>
      </c>
      <c r="I185" s="14">
        <f t="shared" ca="1" si="17"/>
        <v>50</v>
      </c>
      <c r="J185" s="15" t="str">
        <f t="shared" si="13"/>
        <v>0075</v>
      </c>
      <c r="K185">
        <f t="shared" si="14"/>
        <v>9</v>
      </c>
      <c r="L185" t="str">
        <f t="shared" si="15"/>
        <v>House</v>
      </c>
      <c r="M185" s="1" t="str">
        <f t="shared" si="15"/>
        <v>Mogadishu</v>
      </c>
      <c r="N185" s="1">
        <f t="shared" si="16"/>
        <v>2026</v>
      </c>
    </row>
    <row r="186" spans="1:14">
      <c r="A186" t="s">
        <v>199</v>
      </c>
      <c r="B186" s="12">
        <v>45890</v>
      </c>
      <c r="C186" t="s">
        <v>8</v>
      </c>
      <c r="D186" t="s">
        <v>2</v>
      </c>
      <c r="E186">
        <v>237</v>
      </c>
      <c r="F186">
        <v>3</v>
      </c>
      <c r="G186" s="3">
        <v>165928.29999999999</v>
      </c>
      <c r="H186" s="3" t="str">
        <f t="shared" si="12"/>
        <v>Medium</v>
      </c>
      <c r="I186" s="14">
        <f t="shared" ca="1" si="17"/>
        <v>369</v>
      </c>
      <c r="J186" s="15" t="str">
        <f t="shared" si="13"/>
        <v>0279</v>
      </c>
      <c r="K186">
        <f t="shared" si="14"/>
        <v>8</v>
      </c>
      <c r="L186" t="str">
        <f t="shared" si="15"/>
        <v>House</v>
      </c>
      <c r="M186" s="1" t="str">
        <f t="shared" si="15"/>
        <v>Hargeisa</v>
      </c>
      <c r="N186" s="1">
        <f t="shared" si="16"/>
        <v>2025</v>
      </c>
    </row>
    <row r="187" spans="1:14">
      <c r="A187" t="s">
        <v>200</v>
      </c>
      <c r="B187" s="12">
        <v>46113</v>
      </c>
      <c r="C187" t="s">
        <v>1</v>
      </c>
      <c r="D187" t="s">
        <v>6</v>
      </c>
      <c r="E187">
        <v>146</v>
      </c>
      <c r="F187">
        <v>6</v>
      </c>
      <c r="G187" s="3">
        <v>111013.11</v>
      </c>
      <c r="H187" s="3" t="str">
        <f t="shared" si="12"/>
        <v>Medium</v>
      </c>
      <c r="I187" s="14">
        <f t="shared" ca="1" si="17"/>
        <v>146</v>
      </c>
      <c r="J187" s="15" t="str">
        <f t="shared" si="13"/>
        <v>0284</v>
      </c>
      <c r="K187">
        <f t="shared" si="14"/>
        <v>9</v>
      </c>
      <c r="L187" t="str">
        <f t="shared" si="15"/>
        <v>Apartment</v>
      </c>
      <c r="M187" s="1" t="str">
        <f t="shared" si="15"/>
        <v>Mogadishu</v>
      </c>
      <c r="N187" s="1">
        <f t="shared" si="16"/>
        <v>2026</v>
      </c>
    </row>
    <row r="188" spans="1:14">
      <c r="A188" t="s">
        <v>201</v>
      </c>
      <c r="B188" s="12">
        <v>45708</v>
      </c>
      <c r="C188" t="s">
        <v>1</v>
      </c>
      <c r="D188" t="s">
        <v>2</v>
      </c>
      <c r="E188">
        <v>169</v>
      </c>
      <c r="F188">
        <v>4</v>
      </c>
      <c r="G188" s="3">
        <v>96379.57</v>
      </c>
      <c r="H188" s="3" t="str">
        <f t="shared" si="12"/>
        <v>Low</v>
      </c>
      <c r="I188" s="14">
        <f t="shared" ca="1" si="17"/>
        <v>551</v>
      </c>
      <c r="J188" s="15" t="str">
        <f t="shared" si="13"/>
        <v>0224</v>
      </c>
      <c r="K188">
        <f t="shared" si="14"/>
        <v>8</v>
      </c>
      <c r="L188" t="str">
        <f t="shared" si="15"/>
        <v>Apartment</v>
      </c>
      <c r="M188" s="1" t="str">
        <f t="shared" si="15"/>
        <v>Hargeisa</v>
      </c>
      <c r="N188" s="1">
        <f t="shared" si="16"/>
        <v>2025</v>
      </c>
    </row>
    <row r="189" spans="1:14">
      <c r="A189" t="s">
        <v>202</v>
      </c>
      <c r="B189" s="12">
        <v>46132</v>
      </c>
      <c r="C189" t="s">
        <v>8</v>
      </c>
      <c r="D189" t="s">
        <v>36</v>
      </c>
      <c r="E189">
        <v>124</v>
      </c>
      <c r="F189">
        <v>2</v>
      </c>
      <c r="G189" s="3">
        <v>80531.67</v>
      </c>
      <c r="H189" s="3" t="str">
        <f t="shared" si="12"/>
        <v>Low</v>
      </c>
      <c r="I189" s="14">
        <f t="shared" ca="1" si="17"/>
        <v>127</v>
      </c>
      <c r="J189" s="15" t="str">
        <f t="shared" si="13"/>
        <v>0195</v>
      </c>
      <c r="K189">
        <f t="shared" si="14"/>
        <v>6</v>
      </c>
      <c r="L189" t="str">
        <f t="shared" si="15"/>
        <v>House</v>
      </c>
      <c r="M189" s="1" t="str">
        <f t="shared" si="15"/>
        <v>Bosaso</v>
      </c>
      <c r="N189" s="1">
        <f t="shared" si="16"/>
        <v>2026</v>
      </c>
    </row>
    <row r="190" spans="1:14">
      <c r="A190" t="s">
        <v>203</v>
      </c>
      <c r="B190" s="12">
        <v>45894</v>
      </c>
      <c r="C190" t="s">
        <v>8</v>
      </c>
      <c r="D190" t="s">
        <v>38</v>
      </c>
      <c r="E190">
        <v>286</v>
      </c>
      <c r="F190">
        <v>3</v>
      </c>
      <c r="G190" s="3">
        <v>181108.11</v>
      </c>
      <c r="H190" s="3" t="str">
        <f t="shared" si="12"/>
        <v>Medium</v>
      </c>
      <c r="I190" s="14">
        <f t="shared" ca="1" si="17"/>
        <v>365</v>
      </c>
      <c r="J190" s="15" t="str">
        <f t="shared" si="13"/>
        <v>0022</v>
      </c>
      <c r="K190">
        <f t="shared" si="14"/>
        <v>7</v>
      </c>
      <c r="L190" t="str">
        <f t="shared" si="15"/>
        <v>House</v>
      </c>
      <c r="M190" s="1" t="str">
        <f t="shared" si="15"/>
        <v>Kismayo</v>
      </c>
      <c r="N190" s="1">
        <f t="shared" si="16"/>
        <v>2025</v>
      </c>
    </row>
    <row r="191" spans="1:14">
      <c r="A191" t="s">
        <v>204</v>
      </c>
      <c r="B191" s="12">
        <v>46132</v>
      </c>
      <c r="C191" t="s">
        <v>23</v>
      </c>
      <c r="D191" t="s">
        <v>4</v>
      </c>
      <c r="E191">
        <v>1028</v>
      </c>
      <c r="F191">
        <v>0</v>
      </c>
      <c r="G191" s="3">
        <v>178260.23</v>
      </c>
      <c r="H191" s="3" t="str">
        <f t="shared" si="12"/>
        <v>Medium</v>
      </c>
      <c r="I191" s="14">
        <f t="shared" ca="1" si="17"/>
        <v>127</v>
      </c>
      <c r="J191" s="15" t="str">
        <f t="shared" si="13"/>
        <v>0260</v>
      </c>
      <c r="K191">
        <f t="shared" si="14"/>
        <v>6</v>
      </c>
      <c r="L191" t="str">
        <f t="shared" si="15"/>
        <v>Land</v>
      </c>
      <c r="M191" s="1" t="str">
        <f t="shared" si="15"/>
        <v>Baidoa</v>
      </c>
      <c r="N191" s="1">
        <f t="shared" si="16"/>
        <v>2026</v>
      </c>
    </row>
    <row r="192" spans="1:14">
      <c r="A192" t="s">
        <v>205</v>
      </c>
      <c r="B192" s="12">
        <v>45875</v>
      </c>
      <c r="C192" t="s">
        <v>8</v>
      </c>
      <c r="D192" t="s">
        <v>2</v>
      </c>
      <c r="E192">
        <v>198</v>
      </c>
      <c r="F192">
        <v>5</v>
      </c>
      <c r="G192" s="3">
        <v>167221.66</v>
      </c>
      <c r="H192" s="3" t="str">
        <f t="shared" si="12"/>
        <v>Medium</v>
      </c>
      <c r="I192" s="14">
        <f t="shared" ca="1" si="17"/>
        <v>384</v>
      </c>
      <c r="J192" s="15" t="str">
        <f t="shared" si="13"/>
        <v>0142</v>
      </c>
      <c r="K192">
        <f t="shared" si="14"/>
        <v>8</v>
      </c>
      <c r="L192" t="str">
        <f t="shared" si="15"/>
        <v>House</v>
      </c>
      <c r="M192" s="1" t="str">
        <f t="shared" si="15"/>
        <v>Hargeisa</v>
      </c>
      <c r="N192" s="1">
        <f t="shared" si="16"/>
        <v>2025</v>
      </c>
    </row>
    <row r="193" spans="1:14">
      <c r="A193" t="s">
        <v>206</v>
      </c>
      <c r="B193" s="12">
        <v>45946</v>
      </c>
      <c r="C193" t="s">
        <v>23</v>
      </c>
      <c r="D193" t="s">
        <v>36</v>
      </c>
      <c r="E193">
        <v>564</v>
      </c>
      <c r="F193">
        <v>3</v>
      </c>
      <c r="G193" s="3">
        <v>222835.68</v>
      </c>
      <c r="H193" s="3" t="str">
        <f t="shared" si="12"/>
        <v>High</v>
      </c>
      <c r="I193" s="14">
        <f t="shared" ca="1" si="17"/>
        <v>313</v>
      </c>
      <c r="J193" s="15" t="str">
        <f t="shared" si="13"/>
        <v>0066</v>
      </c>
      <c r="K193">
        <f t="shared" si="14"/>
        <v>6</v>
      </c>
      <c r="L193" t="str">
        <f t="shared" si="15"/>
        <v>Land</v>
      </c>
      <c r="M193" s="1" t="str">
        <f t="shared" si="15"/>
        <v>Bosaso</v>
      </c>
      <c r="N193" s="1">
        <f t="shared" si="16"/>
        <v>2025</v>
      </c>
    </row>
    <row r="194" spans="1:14">
      <c r="A194" t="s">
        <v>320</v>
      </c>
      <c r="B194" s="12">
        <v>45821</v>
      </c>
      <c r="C194" t="s">
        <v>1</v>
      </c>
      <c r="D194" t="s">
        <v>2</v>
      </c>
      <c r="E194">
        <v>46</v>
      </c>
      <c r="F194">
        <v>1</v>
      </c>
      <c r="G194" s="3">
        <v>35663.14</v>
      </c>
      <c r="H194" s="3" t="str">
        <f t="shared" ref="H194:H257" si="18">_xlfn.IFS(G194&gt;=200000,"High",G194&gt;=100000,"Medium",G194&lt;100000,"Low")</f>
        <v>Low</v>
      </c>
      <c r="I194" s="14">
        <f t="shared" ca="1" si="17"/>
        <v>438</v>
      </c>
      <c r="J194" s="15" t="str">
        <f t="shared" ref="J194:J257" si="19">RIGHT(A194,4)</f>
        <v>wn07</v>
      </c>
      <c r="K194">
        <f t="shared" ref="K194:K257" si="20">LEN(D194)</f>
        <v>8</v>
      </c>
      <c r="L194" t="str">
        <f t="shared" ref="L194:M257" si="21">PROPER(C194)</f>
        <v>Apartment</v>
      </c>
      <c r="M194" s="1" t="str">
        <f t="shared" si="21"/>
        <v>Hargeisa</v>
      </c>
      <c r="N194" s="1">
        <f t="shared" ref="N194:N257" si="22">IF(B194="Unknown","Unknown",YEAR(B194))</f>
        <v>2025</v>
      </c>
    </row>
    <row r="195" spans="1:14">
      <c r="A195" t="s">
        <v>209</v>
      </c>
      <c r="B195" s="12">
        <v>46152</v>
      </c>
      <c r="C195" t="s">
        <v>8</v>
      </c>
      <c r="D195" t="s">
        <v>313</v>
      </c>
      <c r="E195">
        <v>260</v>
      </c>
      <c r="F195">
        <v>5</v>
      </c>
      <c r="G195" s="3">
        <v>147415.75</v>
      </c>
      <c r="H195" s="3" t="str">
        <f t="shared" si="18"/>
        <v>Medium</v>
      </c>
      <c r="I195" s="14">
        <f t="shared" ref="I195:I258" ca="1" si="23">IF(OR(B195="Unknown",B195=""),"Unknown",TODAY()-B195)</f>
        <v>107</v>
      </c>
      <c r="J195" s="15" t="str">
        <f t="shared" si="19"/>
        <v>0221</v>
      </c>
      <c r="K195">
        <f t="shared" si="20"/>
        <v>7</v>
      </c>
      <c r="L195" t="str">
        <f t="shared" si="21"/>
        <v>House</v>
      </c>
      <c r="M195" s="1" t="str">
        <f t="shared" si="21"/>
        <v>Unknown</v>
      </c>
      <c r="N195" s="1">
        <f t="shared" si="22"/>
        <v>2026</v>
      </c>
    </row>
    <row r="196" spans="1:14">
      <c r="A196" t="s">
        <v>210</v>
      </c>
      <c r="B196" s="12">
        <v>45772</v>
      </c>
      <c r="C196" t="s">
        <v>1</v>
      </c>
      <c r="D196" t="s">
        <v>6</v>
      </c>
      <c r="E196">
        <v>91</v>
      </c>
      <c r="F196">
        <v>6</v>
      </c>
      <c r="G196" s="3">
        <v>64666.59</v>
      </c>
      <c r="H196" s="3" t="str">
        <f t="shared" si="18"/>
        <v>Low</v>
      </c>
      <c r="I196" s="14">
        <f t="shared" ca="1" si="23"/>
        <v>487</v>
      </c>
      <c r="J196" s="15" t="str">
        <f t="shared" si="19"/>
        <v>0289</v>
      </c>
      <c r="K196">
        <f t="shared" si="20"/>
        <v>9</v>
      </c>
      <c r="L196" t="str">
        <f t="shared" si="21"/>
        <v>Apartment</v>
      </c>
      <c r="M196" s="1" t="str">
        <f t="shared" si="21"/>
        <v>Mogadishu</v>
      </c>
      <c r="N196" s="1">
        <f t="shared" si="22"/>
        <v>2025</v>
      </c>
    </row>
    <row r="197" spans="1:14">
      <c r="A197" t="s">
        <v>211</v>
      </c>
      <c r="B197" s="12">
        <v>46126</v>
      </c>
      <c r="C197" t="s">
        <v>5</v>
      </c>
      <c r="D197" t="s">
        <v>38</v>
      </c>
      <c r="E197">
        <v>298</v>
      </c>
      <c r="F197">
        <v>1</v>
      </c>
      <c r="G197" s="3">
        <v>189707.45</v>
      </c>
      <c r="H197" s="3" t="str">
        <f t="shared" si="18"/>
        <v>Medium</v>
      </c>
      <c r="I197" s="14">
        <f t="shared" ca="1" si="23"/>
        <v>133</v>
      </c>
      <c r="J197" s="15" t="str">
        <f t="shared" si="19"/>
        <v>0148</v>
      </c>
      <c r="K197">
        <f t="shared" si="20"/>
        <v>7</v>
      </c>
      <c r="L197" t="str">
        <f t="shared" si="21"/>
        <v>Villa</v>
      </c>
      <c r="M197" s="1" t="str">
        <f t="shared" si="21"/>
        <v>Kismayo</v>
      </c>
      <c r="N197" s="1">
        <f t="shared" si="22"/>
        <v>2026</v>
      </c>
    </row>
    <row r="198" spans="1:14">
      <c r="A198" t="s">
        <v>212</v>
      </c>
      <c r="B198" s="12">
        <v>45803</v>
      </c>
      <c r="C198" t="s">
        <v>10</v>
      </c>
      <c r="D198" t="s">
        <v>39</v>
      </c>
      <c r="E198">
        <v>262</v>
      </c>
      <c r="F198">
        <v>0</v>
      </c>
      <c r="G198" s="3">
        <v>163360.28</v>
      </c>
      <c r="H198" s="3" t="str">
        <f t="shared" si="18"/>
        <v>Medium</v>
      </c>
      <c r="I198" s="14">
        <f t="shared" ca="1" si="23"/>
        <v>456</v>
      </c>
      <c r="J198" s="15" t="str">
        <f t="shared" si="19"/>
        <v>0019</v>
      </c>
      <c r="K198">
        <f t="shared" si="20"/>
        <v>6</v>
      </c>
      <c r="L198" t="str">
        <f t="shared" si="21"/>
        <v>Commercial</v>
      </c>
      <c r="M198" s="1" t="str">
        <f t="shared" si="21"/>
        <v>Garowe</v>
      </c>
      <c r="N198" s="1">
        <f t="shared" si="22"/>
        <v>2025</v>
      </c>
    </row>
    <row r="199" spans="1:14">
      <c r="A199" t="s">
        <v>213</v>
      </c>
      <c r="B199" s="12">
        <v>45714</v>
      </c>
      <c r="C199" t="s">
        <v>1</v>
      </c>
      <c r="D199" t="s">
        <v>6</v>
      </c>
      <c r="E199">
        <v>136</v>
      </c>
      <c r="F199">
        <v>1</v>
      </c>
      <c r="G199" s="3">
        <v>125646.86</v>
      </c>
      <c r="H199" s="3" t="str">
        <f t="shared" si="18"/>
        <v>Medium</v>
      </c>
      <c r="I199" s="14">
        <f t="shared" ca="1" si="23"/>
        <v>545</v>
      </c>
      <c r="J199" s="15" t="str">
        <f t="shared" si="19"/>
        <v>0274</v>
      </c>
      <c r="K199">
        <f t="shared" si="20"/>
        <v>9</v>
      </c>
      <c r="L199" t="str">
        <f t="shared" si="21"/>
        <v>Apartment</v>
      </c>
      <c r="M199" s="1" t="str">
        <f t="shared" si="21"/>
        <v>Mogadishu</v>
      </c>
      <c r="N199" s="1">
        <f t="shared" si="22"/>
        <v>2025</v>
      </c>
    </row>
    <row r="200" spans="1:14">
      <c r="A200" t="s">
        <v>214</v>
      </c>
      <c r="B200" s="12">
        <v>45663</v>
      </c>
      <c r="C200" t="s">
        <v>23</v>
      </c>
      <c r="D200" t="s">
        <v>6</v>
      </c>
      <c r="E200">
        <v>312</v>
      </c>
      <c r="F200">
        <v>0</v>
      </c>
      <c r="G200" s="3">
        <v>166560.13</v>
      </c>
      <c r="H200" s="3" t="str">
        <f t="shared" si="18"/>
        <v>Medium</v>
      </c>
      <c r="I200" s="14">
        <f t="shared" ca="1" si="23"/>
        <v>596</v>
      </c>
      <c r="J200" s="15" t="str">
        <f t="shared" si="19"/>
        <v>0222</v>
      </c>
      <c r="K200">
        <f t="shared" si="20"/>
        <v>9</v>
      </c>
      <c r="L200" t="str">
        <f t="shared" si="21"/>
        <v>Land</v>
      </c>
      <c r="M200" s="1" t="str">
        <f t="shared" si="21"/>
        <v>Mogadishu</v>
      </c>
      <c r="N200" s="1">
        <f t="shared" si="22"/>
        <v>2025</v>
      </c>
    </row>
    <row r="201" spans="1:14">
      <c r="A201" t="s">
        <v>215</v>
      </c>
      <c r="B201" s="12">
        <v>45858</v>
      </c>
      <c r="C201" t="s">
        <v>1</v>
      </c>
      <c r="D201" t="s">
        <v>2</v>
      </c>
      <c r="E201">
        <v>80</v>
      </c>
      <c r="F201">
        <v>6</v>
      </c>
      <c r="G201" s="3">
        <v>57989.15</v>
      </c>
      <c r="H201" s="3" t="str">
        <f t="shared" si="18"/>
        <v>Low</v>
      </c>
      <c r="I201" s="14">
        <f t="shared" ca="1" si="23"/>
        <v>401</v>
      </c>
      <c r="J201" s="15" t="str">
        <f t="shared" si="19"/>
        <v>0271</v>
      </c>
      <c r="K201">
        <f t="shared" si="20"/>
        <v>8</v>
      </c>
      <c r="L201" t="str">
        <f t="shared" si="21"/>
        <v>Apartment</v>
      </c>
      <c r="M201" s="1" t="str">
        <f t="shared" si="21"/>
        <v>Hargeisa</v>
      </c>
      <c r="N201" s="1">
        <f t="shared" si="22"/>
        <v>2025</v>
      </c>
    </row>
    <row r="202" spans="1:14">
      <c r="A202" t="s">
        <v>216</v>
      </c>
      <c r="B202" s="12">
        <v>45897</v>
      </c>
      <c r="C202" t="s">
        <v>1</v>
      </c>
      <c r="D202" t="s">
        <v>6</v>
      </c>
      <c r="E202">
        <v>75</v>
      </c>
      <c r="F202">
        <v>6</v>
      </c>
      <c r="G202" s="3">
        <v>62345.68</v>
      </c>
      <c r="H202" s="3" t="str">
        <f t="shared" si="18"/>
        <v>Low</v>
      </c>
      <c r="I202" s="14">
        <f t="shared" ca="1" si="23"/>
        <v>362</v>
      </c>
      <c r="J202" s="15" t="str">
        <f t="shared" si="19"/>
        <v>0216</v>
      </c>
      <c r="K202">
        <f t="shared" si="20"/>
        <v>9</v>
      </c>
      <c r="L202" t="str">
        <f t="shared" si="21"/>
        <v>Apartment</v>
      </c>
      <c r="M202" s="1" t="str">
        <f t="shared" si="21"/>
        <v>Mogadishu</v>
      </c>
      <c r="N202" s="1">
        <f t="shared" si="22"/>
        <v>2025</v>
      </c>
    </row>
    <row r="203" spans="1:14">
      <c r="A203" t="s">
        <v>217</v>
      </c>
      <c r="B203" s="12">
        <v>46022</v>
      </c>
      <c r="C203" t="s">
        <v>8</v>
      </c>
      <c r="D203" t="s">
        <v>2</v>
      </c>
      <c r="E203">
        <v>190</v>
      </c>
      <c r="F203">
        <v>6</v>
      </c>
      <c r="G203" s="3">
        <v>122581.2</v>
      </c>
      <c r="H203" s="3" t="str">
        <f t="shared" si="18"/>
        <v>Medium</v>
      </c>
      <c r="I203" s="14">
        <f t="shared" ca="1" si="23"/>
        <v>237</v>
      </c>
      <c r="J203" s="15" t="str">
        <f t="shared" si="19"/>
        <v>0078</v>
      </c>
      <c r="K203">
        <f t="shared" si="20"/>
        <v>8</v>
      </c>
      <c r="L203" t="str">
        <f t="shared" si="21"/>
        <v>House</v>
      </c>
      <c r="M203" s="1" t="str">
        <f t="shared" si="21"/>
        <v>Hargeisa</v>
      </c>
      <c r="N203" s="1">
        <f t="shared" si="22"/>
        <v>2025</v>
      </c>
    </row>
    <row r="204" spans="1:14">
      <c r="A204" t="s">
        <v>218</v>
      </c>
      <c r="B204" s="12">
        <v>45868</v>
      </c>
      <c r="C204" t="s">
        <v>23</v>
      </c>
      <c r="D204" t="s">
        <v>36</v>
      </c>
      <c r="E204">
        <v>969</v>
      </c>
      <c r="F204">
        <v>0</v>
      </c>
      <c r="G204" s="3">
        <v>358971.14</v>
      </c>
      <c r="H204" s="3" t="str">
        <f t="shared" si="18"/>
        <v>High</v>
      </c>
      <c r="I204" s="14">
        <f t="shared" ca="1" si="23"/>
        <v>391</v>
      </c>
      <c r="J204" s="15" t="str">
        <f t="shared" si="19"/>
        <v>0024</v>
      </c>
      <c r="K204">
        <f t="shared" si="20"/>
        <v>6</v>
      </c>
      <c r="L204" t="str">
        <f t="shared" si="21"/>
        <v>Land</v>
      </c>
      <c r="M204" s="1" t="str">
        <f t="shared" si="21"/>
        <v>Bosaso</v>
      </c>
      <c r="N204" s="1">
        <f t="shared" si="22"/>
        <v>2025</v>
      </c>
    </row>
    <row r="205" spans="1:14">
      <c r="A205" t="s">
        <v>219</v>
      </c>
      <c r="B205" s="12">
        <v>45874</v>
      </c>
      <c r="C205" t="s">
        <v>23</v>
      </c>
      <c r="D205" t="s">
        <v>6</v>
      </c>
      <c r="E205">
        <v>828</v>
      </c>
      <c r="F205">
        <v>0</v>
      </c>
      <c r="G205" s="3">
        <v>482475.06</v>
      </c>
      <c r="H205" s="3" t="str">
        <f t="shared" si="18"/>
        <v>High</v>
      </c>
      <c r="I205" s="14">
        <f t="shared" ca="1" si="23"/>
        <v>385</v>
      </c>
      <c r="J205" s="15" t="str">
        <f t="shared" si="19"/>
        <v>0190</v>
      </c>
      <c r="K205">
        <f t="shared" si="20"/>
        <v>9</v>
      </c>
      <c r="L205" t="str">
        <f t="shared" si="21"/>
        <v>Land</v>
      </c>
      <c r="M205" s="1" t="str">
        <f t="shared" si="21"/>
        <v>Mogadishu</v>
      </c>
      <c r="N205" s="1">
        <f t="shared" si="22"/>
        <v>2025</v>
      </c>
    </row>
    <row r="206" spans="1:14">
      <c r="A206" t="s">
        <v>220</v>
      </c>
      <c r="B206" s="12">
        <v>46146</v>
      </c>
      <c r="C206" t="s">
        <v>8</v>
      </c>
      <c r="D206" t="s">
        <v>39</v>
      </c>
      <c r="E206">
        <v>257</v>
      </c>
      <c r="F206">
        <v>3</v>
      </c>
      <c r="G206" s="3">
        <v>178260.23</v>
      </c>
      <c r="H206" s="3" t="str">
        <f t="shared" si="18"/>
        <v>Medium</v>
      </c>
      <c r="I206" s="14">
        <f t="shared" ca="1" si="23"/>
        <v>113</v>
      </c>
      <c r="J206" s="15" t="str">
        <f t="shared" si="19"/>
        <v>0161</v>
      </c>
      <c r="K206">
        <f t="shared" si="20"/>
        <v>6</v>
      </c>
      <c r="L206" t="str">
        <f t="shared" si="21"/>
        <v>House</v>
      </c>
      <c r="M206" s="1" t="str">
        <f t="shared" si="21"/>
        <v>Garowe</v>
      </c>
      <c r="N206" s="1">
        <f t="shared" si="22"/>
        <v>2026</v>
      </c>
    </row>
    <row r="207" spans="1:14">
      <c r="A207" t="s">
        <v>221</v>
      </c>
      <c r="B207" s="12">
        <v>45832</v>
      </c>
      <c r="C207" t="s">
        <v>1</v>
      </c>
      <c r="D207" t="s">
        <v>6</v>
      </c>
      <c r="E207">
        <v>110</v>
      </c>
      <c r="F207">
        <v>5</v>
      </c>
      <c r="G207" s="3">
        <v>89377.91</v>
      </c>
      <c r="H207" s="3" t="str">
        <f t="shared" si="18"/>
        <v>Low</v>
      </c>
      <c r="I207" s="14">
        <f t="shared" ca="1" si="23"/>
        <v>427</v>
      </c>
      <c r="J207" s="15" t="str">
        <f t="shared" si="19"/>
        <v>0160</v>
      </c>
      <c r="K207">
        <f t="shared" si="20"/>
        <v>9</v>
      </c>
      <c r="L207" t="str">
        <f t="shared" si="21"/>
        <v>Apartment</v>
      </c>
      <c r="M207" s="1" t="str">
        <f t="shared" si="21"/>
        <v>Mogadishu</v>
      </c>
      <c r="N207" s="1">
        <f t="shared" si="22"/>
        <v>2025</v>
      </c>
    </row>
    <row r="208" spans="1:14">
      <c r="A208" t="s">
        <v>222</v>
      </c>
      <c r="B208" s="12">
        <v>45706</v>
      </c>
      <c r="C208" t="s">
        <v>8</v>
      </c>
      <c r="D208" t="s">
        <v>6</v>
      </c>
      <c r="E208">
        <v>272</v>
      </c>
      <c r="F208">
        <v>2</v>
      </c>
      <c r="G208" s="3">
        <v>248870.37</v>
      </c>
      <c r="H208" s="3" t="str">
        <f t="shared" si="18"/>
        <v>High</v>
      </c>
      <c r="I208" s="14">
        <f t="shared" ca="1" si="23"/>
        <v>553</v>
      </c>
      <c r="J208" s="15" t="str">
        <f t="shared" si="19"/>
        <v>0001</v>
      </c>
      <c r="K208">
        <f t="shared" si="20"/>
        <v>9</v>
      </c>
      <c r="L208" t="str">
        <f t="shared" si="21"/>
        <v>House</v>
      </c>
      <c r="M208" s="1" t="str">
        <f t="shared" si="21"/>
        <v>Mogadishu</v>
      </c>
      <c r="N208" s="1">
        <f t="shared" si="22"/>
        <v>2025</v>
      </c>
    </row>
    <row r="209" spans="1:14">
      <c r="A209" t="s">
        <v>321</v>
      </c>
      <c r="B209" s="12">
        <v>45797</v>
      </c>
      <c r="C209" t="s">
        <v>10</v>
      </c>
      <c r="D209" t="s">
        <v>6</v>
      </c>
      <c r="E209">
        <v>370</v>
      </c>
      <c r="F209">
        <v>0</v>
      </c>
      <c r="G209" s="3">
        <v>367832.51</v>
      </c>
      <c r="H209" s="3" t="str">
        <f t="shared" si="18"/>
        <v>High</v>
      </c>
      <c r="I209" s="14">
        <f t="shared" ca="1" si="23"/>
        <v>462</v>
      </c>
      <c r="J209" s="15" t="str">
        <f t="shared" si="19"/>
        <v>wn08</v>
      </c>
      <c r="K209">
        <f t="shared" si="20"/>
        <v>9</v>
      </c>
      <c r="L209" t="str">
        <f t="shared" si="21"/>
        <v>Commercial</v>
      </c>
      <c r="M209" s="1" t="str">
        <f t="shared" si="21"/>
        <v>Mogadishu</v>
      </c>
      <c r="N209" s="1">
        <f t="shared" si="22"/>
        <v>2025</v>
      </c>
    </row>
    <row r="210" spans="1:14">
      <c r="A210" t="s">
        <v>223</v>
      </c>
      <c r="B210" s="12">
        <v>46138</v>
      </c>
      <c r="C210" t="s">
        <v>10</v>
      </c>
      <c r="D210" t="s">
        <v>2</v>
      </c>
      <c r="E210">
        <v>295</v>
      </c>
      <c r="F210">
        <v>0</v>
      </c>
      <c r="G210" s="3">
        <v>234986.41</v>
      </c>
      <c r="H210" s="3" t="str">
        <f t="shared" si="18"/>
        <v>High</v>
      </c>
      <c r="I210" s="14">
        <f t="shared" ca="1" si="23"/>
        <v>121</v>
      </c>
      <c r="J210" s="15" t="str">
        <f t="shared" si="19"/>
        <v>0156</v>
      </c>
      <c r="K210">
        <f t="shared" si="20"/>
        <v>8</v>
      </c>
      <c r="L210" t="str">
        <f t="shared" si="21"/>
        <v>Commercial</v>
      </c>
      <c r="M210" s="1" t="str">
        <f t="shared" si="21"/>
        <v>Hargeisa</v>
      </c>
      <c r="N210" s="1">
        <f t="shared" si="22"/>
        <v>2026</v>
      </c>
    </row>
    <row r="211" spans="1:14">
      <c r="A211" t="s">
        <v>224</v>
      </c>
      <c r="B211" s="12">
        <v>45692</v>
      </c>
      <c r="C211" t="s">
        <v>5</v>
      </c>
      <c r="D211" t="s">
        <v>4</v>
      </c>
      <c r="E211">
        <v>370</v>
      </c>
      <c r="F211">
        <v>4</v>
      </c>
      <c r="G211" s="3">
        <v>197459.85</v>
      </c>
      <c r="H211" s="3" t="str">
        <f t="shared" si="18"/>
        <v>Medium</v>
      </c>
      <c r="I211" s="14">
        <f t="shared" ca="1" si="23"/>
        <v>567</v>
      </c>
      <c r="J211" s="15" t="str">
        <f t="shared" si="19"/>
        <v>0013</v>
      </c>
      <c r="K211">
        <f t="shared" si="20"/>
        <v>6</v>
      </c>
      <c r="L211" t="str">
        <f t="shared" si="21"/>
        <v>Villa</v>
      </c>
      <c r="M211" s="1" t="str">
        <f t="shared" si="21"/>
        <v>Baidoa</v>
      </c>
      <c r="N211" s="1">
        <f t="shared" si="22"/>
        <v>2025</v>
      </c>
    </row>
    <row r="212" spans="1:14">
      <c r="A212" t="s">
        <v>225</v>
      </c>
      <c r="B212" s="12">
        <v>46082</v>
      </c>
      <c r="C212" t="s">
        <v>5</v>
      </c>
      <c r="D212" t="s">
        <v>36</v>
      </c>
      <c r="E212">
        <v>2015</v>
      </c>
      <c r="F212">
        <v>1</v>
      </c>
      <c r="G212" s="3">
        <v>387835.35</v>
      </c>
      <c r="H212" s="3" t="str">
        <f t="shared" si="18"/>
        <v>High</v>
      </c>
      <c r="I212" s="14">
        <f t="shared" ca="1" si="23"/>
        <v>177</v>
      </c>
      <c r="J212" s="15" t="str">
        <f t="shared" si="19"/>
        <v>0084</v>
      </c>
      <c r="K212">
        <f t="shared" si="20"/>
        <v>6</v>
      </c>
      <c r="L212" t="str">
        <f t="shared" si="21"/>
        <v>Villa</v>
      </c>
      <c r="M212" s="1" t="str">
        <f t="shared" si="21"/>
        <v>Bosaso</v>
      </c>
      <c r="N212" s="1">
        <f t="shared" si="22"/>
        <v>2026</v>
      </c>
    </row>
    <row r="213" spans="1:14">
      <c r="A213" t="s">
        <v>322</v>
      </c>
      <c r="B213" s="12">
        <v>45771</v>
      </c>
      <c r="C213" t="s">
        <v>1</v>
      </c>
      <c r="D213" t="s">
        <v>36</v>
      </c>
      <c r="E213">
        <v>109</v>
      </c>
      <c r="F213">
        <v>3</v>
      </c>
      <c r="G213" s="3">
        <v>63318.239999999998</v>
      </c>
      <c r="H213" s="3" t="str">
        <f t="shared" si="18"/>
        <v>Low</v>
      </c>
      <c r="I213" s="14">
        <f t="shared" ca="1" si="23"/>
        <v>488</v>
      </c>
      <c r="J213" s="15" t="str">
        <f t="shared" si="19"/>
        <v>wn09</v>
      </c>
      <c r="K213">
        <f t="shared" si="20"/>
        <v>6</v>
      </c>
      <c r="L213" t="str">
        <f t="shared" si="21"/>
        <v>Apartment</v>
      </c>
      <c r="M213" s="1" t="str">
        <f t="shared" si="21"/>
        <v>Bosaso</v>
      </c>
      <c r="N213" s="1">
        <f t="shared" si="22"/>
        <v>2025</v>
      </c>
    </row>
    <row r="214" spans="1:14">
      <c r="A214" t="s">
        <v>323</v>
      </c>
      <c r="B214" s="12">
        <v>45983</v>
      </c>
      <c r="C214" t="s">
        <v>8</v>
      </c>
      <c r="D214" t="s">
        <v>2</v>
      </c>
      <c r="E214">
        <v>278</v>
      </c>
      <c r="F214">
        <v>4</v>
      </c>
      <c r="G214" s="3">
        <v>198006.25</v>
      </c>
      <c r="H214" s="3" t="str">
        <f t="shared" si="18"/>
        <v>Medium</v>
      </c>
      <c r="I214" s="14">
        <f t="shared" ca="1" si="23"/>
        <v>276</v>
      </c>
      <c r="J214" s="15" t="str">
        <f t="shared" si="19"/>
        <v>wn10</v>
      </c>
      <c r="K214">
        <f t="shared" si="20"/>
        <v>8</v>
      </c>
      <c r="L214" t="str">
        <f t="shared" si="21"/>
        <v>House</v>
      </c>
      <c r="M214" s="1" t="str">
        <f t="shared" si="21"/>
        <v>Hargeisa</v>
      </c>
      <c r="N214" s="1">
        <f t="shared" si="22"/>
        <v>2025</v>
      </c>
    </row>
    <row r="215" spans="1:14">
      <c r="A215" t="s">
        <v>226</v>
      </c>
      <c r="B215" s="12">
        <v>46196</v>
      </c>
      <c r="C215" t="s">
        <v>1</v>
      </c>
      <c r="D215" t="s">
        <v>6</v>
      </c>
      <c r="E215">
        <v>163</v>
      </c>
      <c r="F215">
        <v>5</v>
      </c>
      <c r="G215" s="3">
        <v>178260.23</v>
      </c>
      <c r="H215" s="3" t="str">
        <f t="shared" si="18"/>
        <v>Medium</v>
      </c>
      <c r="I215" s="14">
        <f t="shared" ca="1" si="23"/>
        <v>63</v>
      </c>
      <c r="J215" s="15" t="str">
        <f t="shared" si="19"/>
        <v>0204</v>
      </c>
      <c r="K215">
        <f t="shared" si="20"/>
        <v>9</v>
      </c>
      <c r="L215" t="str">
        <f t="shared" si="21"/>
        <v>Apartment</v>
      </c>
      <c r="M215" s="1" t="str">
        <f t="shared" si="21"/>
        <v>Mogadishu</v>
      </c>
      <c r="N215" s="1">
        <f t="shared" si="22"/>
        <v>2026</v>
      </c>
    </row>
    <row r="216" spans="1:14">
      <c r="A216" t="s">
        <v>227</v>
      </c>
      <c r="B216" s="12">
        <v>45723</v>
      </c>
      <c r="C216" t="s">
        <v>8</v>
      </c>
      <c r="D216" t="s">
        <v>2</v>
      </c>
      <c r="E216">
        <v>243</v>
      </c>
      <c r="F216">
        <v>6</v>
      </c>
      <c r="G216" s="3">
        <v>143567.67000000001</v>
      </c>
      <c r="H216" s="3" t="str">
        <f t="shared" si="18"/>
        <v>Medium</v>
      </c>
      <c r="I216" s="14">
        <f t="shared" ca="1" si="23"/>
        <v>536</v>
      </c>
      <c r="J216" s="15" t="str">
        <f t="shared" si="19"/>
        <v>0261</v>
      </c>
      <c r="K216">
        <f t="shared" si="20"/>
        <v>8</v>
      </c>
      <c r="L216" t="str">
        <f t="shared" si="21"/>
        <v>House</v>
      </c>
      <c r="M216" s="1" t="str">
        <f t="shared" si="21"/>
        <v>Hargeisa</v>
      </c>
      <c r="N216" s="1">
        <f t="shared" si="22"/>
        <v>2025</v>
      </c>
    </row>
    <row r="217" spans="1:14">
      <c r="A217" t="s">
        <v>228</v>
      </c>
      <c r="B217" s="12" t="s">
        <v>313</v>
      </c>
      <c r="C217" t="s">
        <v>10</v>
      </c>
      <c r="D217" t="s">
        <v>36</v>
      </c>
      <c r="E217">
        <v>85</v>
      </c>
      <c r="F217">
        <v>0</v>
      </c>
      <c r="G217" s="3">
        <v>68505.66</v>
      </c>
      <c r="H217" s="3" t="str">
        <f t="shared" si="18"/>
        <v>Low</v>
      </c>
      <c r="I217" s="14" t="str">
        <f t="shared" ca="1" si="23"/>
        <v>Unknown</v>
      </c>
      <c r="J217" s="15" t="str">
        <f t="shared" si="19"/>
        <v>0030</v>
      </c>
      <c r="K217">
        <f t="shared" si="20"/>
        <v>6</v>
      </c>
      <c r="L217" t="str">
        <f t="shared" si="21"/>
        <v>Commercial</v>
      </c>
      <c r="M217" s="1" t="str">
        <f t="shared" si="21"/>
        <v>Bosaso</v>
      </c>
      <c r="N217" s="1" t="str">
        <f t="shared" si="22"/>
        <v>Unknown</v>
      </c>
    </row>
    <row r="218" spans="1:14">
      <c r="A218" t="s">
        <v>229</v>
      </c>
      <c r="B218" s="12">
        <v>45743</v>
      </c>
      <c r="C218" t="s">
        <v>1</v>
      </c>
      <c r="D218" t="s">
        <v>2</v>
      </c>
      <c r="E218">
        <v>98</v>
      </c>
      <c r="F218">
        <v>6</v>
      </c>
      <c r="G218" s="3">
        <v>66905.66</v>
      </c>
      <c r="H218" s="3" t="str">
        <f t="shared" si="18"/>
        <v>Low</v>
      </c>
      <c r="I218" s="14">
        <f t="shared" ca="1" si="23"/>
        <v>516</v>
      </c>
      <c r="J218" s="15" t="str">
        <f t="shared" si="19"/>
        <v>0165</v>
      </c>
      <c r="K218">
        <f t="shared" si="20"/>
        <v>8</v>
      </c>
      <c r="L218" t="str">
        <f t="shared" si="21"/>
        <v>Apartment</v>
      </c>
      <c r="M218" s="1" t="str">
        <f t="shared" si="21"/>
        <v>Hargeisa</v>
      </c>
      <c r="N218" s="1">
        <f t="shared" si="22"/>
        <v>2025</v>
      </c>
    </row>
    <row r="219" spans="1:14">
      <c r="A219" t="s">
        <v>230</v>
      </c>
      <c r="B219" s="12">
        <v>45947</v>
      </c>
      <c r="C219" t="s">
        <v>1</v>
      </c>
      <c r="D219" t="s">
        <v>6</v>
      </c>
      <c r="E219">
        <v>45</v>
      </c>
      <c r="F219">
        <v>4</v>
      </c>
      <c r="G219" s="3">
        <v>43452.44</v>
      </c>
      <c r="H219" s="3" t="str">
        <f t="shared" si="18"/>
        <v>Low</v>
      </c>
      <c r="I219" s="14">
        <f t="shared" ca="1" si="23"/>
        <v>312</v>
      </c>
      <c r="J219" s="15" t="str">
        <f t="shared" si="19"/>
        <v>0254</v>
      </c>
      <c r="K219">
        <f t="shared" si="20"/>
        <v>9</v>
      </c>
      <c r="L219" t="str">
        <f t="shared" si="21"/>
        <v>Apartment</v>
      </c>
      <c r="M219" s="1" t="str">
        <f t="shared" si="21"/>
        <v>Mogadishu</v>
      </c>
      <c r="N219" s="1">
        <f t="shared" si="22"/>
        <v>2025</v>
      </c>
    </row>
    <row r="220" spans="1:14">
      <c r="A220" t="s">
        <v>231</v>
      </c>
      <c r="B220" s="12">
        <v>46064</v>
      </c>
      <c r="C220" t="s">
        <v>1</v>
      </c>
      <c r="D220" t="s">
        <v>6</v>
      </c>
      <c r="E220">
        <v>167</v>
      </c>
      <c r="F220">
        <v>5</v>
      </c>
      <c r="G220" s="3">
        <v>165536.85999999999</v>
      </c>
      <c r="H220" s="3" t="str">
        <f t="shared" si="18"/>
        <v>Medium</v>
      </c>
      <c r="I220" s="14">
        <f t="shared" ca="1" si="23"/>
        <v>195</v>
      </c>
      <c r="J220" s="15" t="str">
        <f t="shared" si="19"/>
        <v>0263</v>
      </c>
      <c r="K220">
        <f t="shared" si="20"/>
        <v>9</v>
      </c>
      <c r="L220" t="str">
        <f t="shared" si="21"/>
        <v>Apartment</v>
      </c>
      <c r="M220" s="1" t="str">
        <f t="shared" si="21"/>
        <v>Mogadishu</v>
      </c>
      <c r="N220" s="1">
        <f t="shared" si="22"/>
        <v>2026</v>
      </c>
    </row>
    <row r="221" spans="1:14">
      <c r="A221" t="s">
        <v>232</v>
      </c>
      <c r="B221" s="12">
        <v>45825</v>
      </c>
      <c r="C221" t="s">
        <v>1</v>
      </c>
      <c r="D221" t="s">
        <v>4</v>
      </c>
      <c r="E221">
        <v>179</v>
      </c>
      <c r="F221">
        <v>4</v>
      </c>
      <c r="G221" s="3">
        <v>69380.52</v>
      </c>
      <c r="H221" s="3" t="str">
        <f t="shared" si="18"/>
        <v>Low</v>
      </c>
      <c r="I221" s="14">
        <f t="shared" ca="1" si="23"/>
        <v>434</v>
      </c>
      <c r="J221" s="15" t="str">
        <f t="shared" si="19"/>
        <v>0253</v>
      </c>
      <c r="K221">
        <f t="shared" si="20"/>
        <v>6</v>
      </c>
      <c r="L221" t="str">
        <f t="shared" si="21"/>
        <v>Apartment</v>
      </c>
      <c r="M221" s="1" t="str">
        <f t="shared" si="21"/>
        <v>Baidoa</v>
      </c>
      <c r="N221" s="1">
        <f t="shared" si="22"/>
        <v>2025</v>
      </c>
    </row>
    <row r="222" spans="1:14">
      <c r="A222" t="s">
        <v>233</v>
      </c>
      <c r="B222" s="12">
        <v>46110</v>
      </c>
      <c r="C222" t="s">
        <v>10</v>
      </c>
      <c r="D222" t="s">
        <v>39</v>
      </c>
      <c r="E222">
        <v>67</v>
      </c>
      <c r="F222">
        <v>0</v>
      </c>
      <c r="G222" s="3">
        <v>53434.66</v>
      </c>
      <c r="H222" s="3" t="str">
        <f t="shared" si="18"/>
        <v>Low</v>
      </c>
      <c r="I222" s="14">
        <f t="shared" ca="1" si="23"/>
        <v>149</v>
      </c>
      <c r="J222" s="15" t="str">
        <f t="shared" si="19"/>
        <v>0145</v>
      </c>
      <c r="K222">
        <f t="shared" si="20"/>
        <v>6</v>
      </c>
      <c r="L222" t="str">
        <f t="shared" si="21"/>
        <v>Commercial</v>
      </c>
      <c r="M222" s="1" t="str">
        <f t="shared" si="21"/>
        <v>Garowe</v>
      </c>
      <c r="N222" s="1">
        <f t="shared" si="22"/>
        <v>2026</v>
      </c>
    </row>
    <row r="223" spans="1:14">
      <c r="A223" t="s">
        <v>234</v>
      </c>
      <c r="B223" s="12" t="s">
        <v>313</v>
      </c>
      <c r="C223" t="s">
        <v>23</v>
      </c>
      <c r="D223" t="s">
        <v>36</v>
      </c>
      <c r="E223">
        <v>946</v>
      </c>
      <c r="F223">
        <v>0</v>
      </c>
      <c r="G223" s="3">
        <v>439320.47</v>
      </c>
      <c r="H223" s="3" t="str">
        <f t="shared" si="18"/>
        <v>High</v>
      </c>
      <c r="I223" s="14" t="str">
        <f t="shared" ca="1" si="23"/>
        <v>Unknown</v>
      </c>
      <c r="J223" s="15" t="str">
        <f t="shared" si="19"/>
        <v>0152</v>
      </c>
      <c r="K223">
        <f t="shared" si="20"/>
        <v>6</v>
      </c>
      <c r="L223" t="str">
        <f t="shared" si="21"/>
        <v>Land</v>
      </c>
      <c r="M223" s="1" t="str">
        <f t="shared" si="21"/>
        <v>Bosaso</v>
      </c>
      <c r="N223" s="1" t="str">
        <f t="shared" si="22"/>
        <v>Unknown</v>
      </c>
    </row>
    <row r="224" spans="1:14">
      <c r="A224" t="s">
        <v>235</v>
      </c>
      <c r="B224" s="12">
        <v>45773</v>
      </c>
      <c r="C224" t="s">
        <v>1</v>
      </c>
      <c r="D224" t="s">
        <v>6</v>
      </c>
      <c r="E224">
        <v>73</v>
      </c>
      <c r="F224">
        <v>3</v>
      </c>
      <c r="G224" s="3">
        <v>53095.29</v>
      </c>
      <c r="H224" s="3" t="str">
        <f t="shared" si="18"/>
        <v>Low</v>
      </c>
      <c r="I224" s="14">
        <f t="shared" ca="1" si="23"/>
        <v>486</v>
      </c>
      <c r="J224" s="15" t="str">
        <f t="shared" si="19"/>
        <v>0194</v>
      </c>
      <c r="K224">
        <f t="shared" si="20"/>
        <v>9</v>
      </c>
      <c r="L224" t="str">
        <f t="shared" si="21"/>
        <v>Apartment</v>
      </c>
      <c r="M224" s="1" t="str">
        <f t="shared" si="21"/>
        <v>Mogadishu</v>
      </c>
      <c r="N224" s="1">
        <f t="shared" si="22"/>
        <v>2025</v>
      </c>
    </row>
    <row r="225" spans="1:14">
      <c r="A225" t="s">
        <v>236</v>
      </c>
      <c r="B225" s="12">
        <v>45994</v>
      </c>
      <c r="C225" t="s">
        <v>5</v>
      </c>
      <c r="D225" t="s">
        <v>313</v>
      </c>
      <c r="E225">
        <v>250</v>
      </c>
      <c r="F225">
        <v>4</v>
      </c>
      <c r="G225" s="3">
        <v>236965.25</v>
      </c>
      <c r="H225" s="3" t="str">
        <f t="shared" si="18"/>
        <v>High</v>
      </c>
      <c r="I225" s="14">
        <f t="shared" ca="1" si="23"/>
        <v>265</v>
      </c>
      <c r="J225" s="15" t="str">
        <f t="shared" si="19"/>
        <v>0241</v>
      </c>
      <c r="K225">
        <f t="shared" si="20"/>
        <v>7</v>
      </c>
      <c r="L225" t="str">
        <f t="shared" si="21"/>
        <v>Villa</v>
      </c>
      <c r="M225" s="1" t="str">
        <f t="shared" si="21"/>
        <v>Unknown</v>
      </c>
      <c r="N225" s="1">
        <f t="shared" si="22"/>
        <v>2025</v>
      </c>
    </row>
    <row r="226" spans="1:14">
      <c r="A226" t="s">
        <v>237</v>
      </c>
      <c r="B226" s="12">
        <v>45888</v>
      </c>
      <c r="C226" t="s">
        <v>10</v>
      </c>
      <c r="D226" t="s">
        <v>36</v>
      </c>
      <c r="E226">
        <v>121</v>
      </c>
      <c r="F226">
        <v>0</v>
      </c>
      <c r="G226" s="3">
        <v>90730.46</v>
      </c>
      <c r="H226" s="3" t="str">
        <f t="shared" si="18"/>
        <v>Low</v>
      </c>
      <c r="I226" s="14">
        <f t="shared" ca="1" si="23"/>
        <v>371</v>
      </c>
      <c r="J226" s="15" t="str">
        <f t="shared" si="19"/>
        <v>0288</v>
      </c>
      <c r="K226">
        <f t="shared" si="20"/>
        <v>6</v>
      </c>
      <c r="L226" t="str">
        <f t="shared" si="21"/>
        <v>Commercial</v>
      </c>
      <c r="M226" s="1" t="str">
        <f t="shared" si="21"/>
        <v>Bosaso</v>
      </c>
      <c r="N226" s="1">
        <f t="shared" si="22"/>
        <v>2025</v>
      </c>
    </row>
    <row r="227" spans="1:14">
      <c r="A227" t="s">
        <v>238</v>
      </c>
      <c r="B227" s="12">
        <v>45827</v>
      </c>
      <c r="C227" t="s">
        <v>1</v>
      </c>
      <c r="D227" t="s">
        <v>39</v>
      </c>
      <c r="E227">
        <v>164</v>
      </c>
      <c r="F227">
        <v>4</v>
      </c>
      <c r="G227" s="3">
        <v>94468.46</v>
      </c>
      <c r="H227" s="3" t="str">
        <f t="shared" si="18"/>
        <v>Low</v>
      </c>
      <c r="I227" s="14">
        <f t="shared" ca="1" si="23"/>
        <v>432</v>
      </c>
      <c r="J227" s="15" t="str">
        <f t="shared" si="19"/>
        <v>0028</v>
      </c>
      <c r="K227">
        <f t="shared" si="20"/>
        <v>6</v>
      </c>
      <c r="L227" t="str">
        <f t="shared" si="21"/>
        <v>Apartment</v>
      </c>
      <c r="M227" s="1" t="str">
        <f t="shared" si="21"/>
        <v>Garowe</v>
      </c>
      <c r="N227" s="1">
        <f t="shared" si="22"/>
        <v>2025</v>
      </c>
    </row>
    <row r="228" spans="1:14">
      <c r="A228" t="s">
        <v>239</v>
      </c>
      <c r="B228" s="12">
        <v>45719</v>
      </c>
      <c r="C228" t="s">
        <v>8</v>
      </c>
      <c r="D228" t="s">
        <v>38</v>
      </c>
      <c r="E228">
        <v>275</v>
      </c>
      <c r="F228">
        <v>1</v>
      </c>
      <c r="G228" s="3">
        <v>179626.83</v>
      </c>
      <c r="H228" s="3" t="str">
        <f t="shared" si="18"/>
        <v>Medium</v>
      </c>
      <c r="I228" s="14">
        <f t="shared" ca="1" si="23"/>
        <v>540</v>
      </c>
      <c r="J228" s="15" t="str">
        <f t="shared" si="19"/>
        <v>0012</v>
      </c>
      <c r="K228">
        <f t="shared" si="20"/>
        <v>7</v>
      </c>
      <c r="L228" t="str">
        <f t="shared" si="21"/>
        <v>House</v>
      </c>
      <c r="M228" s="1" t="str">
        <f t="shared" si="21"/>
        <v>Kismayo</v>
      </c>
      <c r="N228" s="1">
        <f t="shared" si="22"/>
        <v>2025</v>
      </c>
    </row>
    <row r="229" spans="1:14">
      <c r="A229" t="s">
        <v>240</v>
      </c>
      <c r="B229" s="12">
        <v>46224</v>
      </c>
      <c r="C229" t="s">
        <v>10</v>
      </c>
      <c r="D229" t="s">
        <v>39</v>
      </c>
      <c r="E229">
        <v>282</v>
      </c>
      <c r="F229">
        <v>0</v>
      </c>
      <c r="G229" s="3">
        <v>259324.65</v>
      </c>
      <c r="H229" s="3" t="str">
        <f t="shared" si="18"/>
        <v>High</v>
      </c>
      <c r="I229" s="14">
        <f t="shared" ca="1" si="23"/>
        <v>35</v>
      </c>
      <c r="J229" s="15" t="str">
        <f t="shared" si="19"/>
        <v>0150</v>
      </c>
      <c r="K229">
        <f t="shared" si="20"/>
        <v>6</v>
      </c>
      <c r="L229" t="str">
        <f t="shared" si="21"/>
        <v>Commercial</v>
      </c>
      <c r="M229" s="1" t="str">
        <f t="shared" si="21"/>
        <v>Garowe</v>
      </c>
      <c r="N229" s="1">
        <f t="shared" si="22"/>
        <v>2026</v>
      </c>
    </row>
    <row r="230" spans="1:14">
      <c r="A230" t="s">
        <v>241</v>
      </c>
      <c r="B230" s="12">
        <v>45791</v>
      </c>
      <c r="C230" t="s">
        <v>1</v>
      </c>
      <c r="D230" t="s">
        <v>4</v>
      </c>
      <c r="E230">
        <v>53</v>
      </c>
      <c r="F230">
        <v>3</v>
      </c>
      <c r="G230" s="3">
        <v>17505.310000000001</v>
      </c>
      <c r="H230" s="3" t="str">
        <f t="shared" si="18"/>
        <v>Low</v>
      </c>
      <c r="I230" s="14">
        <f t="shared" ca="1" si="23"/>
        <v>468</v>
      </c>
      <c r="J230" s="15" t="str">
        <f t="shared" si="19"/>
        <v>0166</v>
      </c>
      <c r="K230">
        <f t="shared" si="20"/>
        <v>6</v>
      </c>
      <c r="L230" t="str">
        <f t="shared" si="21"/>
        <v>Apartment</v>
      </c>
      <c r="M230" s="1" t="str">
        <f t="shared" si="21"/>
        <v>Baidoa</v>
      </c>
      <c r="N230" s="1">
        <f t="shared" si="22"/>
        <v>2025</v>
      </c>
    </row>
    <row r="231" spans="1:14">
      <c r="A231" t="s">
        <v>242</v>
      </c>
      <c r="B231" s="12">
        <v>45684</v>
      </c>
      <c r="C231" t="s">
        <v>10</v>
      </c>
      <c r="D231" t="s">
        <v>313</v>
      </c>
      <c r="E231">
        <v>480</v>
      </c>
      <c r="F231">
        <v>0</v>
      </c>
      <c r="G231" s="3">
        <v>374537.91</v>
      </c>
      <c r="H231" s="3" t="str">
        <f t="shared" si="18"/>
        <v>High</v>
      </c>
      <c r="I231" s="14">
        <f t="shared" ca="1" si="23"/>
        <v>575</v>
      </c>
      <c r="J231" s="15" t="str">
        <f t="shared" si="19"/>
        <v>0063</v>
      </c>
      <c r="K231">
        <f t="shared" si="20"/>
        <v>7</v>
      </c>
      <c r="L231" t="str">
        <f t="shared" si="21"/>
        <v>Commercial</v>
      </c>
      <c r="M231" s="1" t="str">
        <f t="shared" si="21"/>
        <v>Unknown</v>
      </c>
      <c r="N231" s="1">
        <f t="shared" si="22"/>
        <v>2025</v>
      </c>
    </row>
    <row r="232" spans="1:14">
      <c r="A232" t="s">
        <v>243</v>
      </c>
      <c r="B232" s="12">
        <v>46054</v>
      </c>
      <c r="C232" t="s">
        <v>8</v>
      </c>
      <c r="D232" t="s">
        <v>6</v>
      </c>
      <c r="E232">
        <v>180</v>
      </c>
      <c r="F232">
        <v>3</v>
      </c>
      <c r="G232" s="3">
        <v>177806.97</v>
      </c>
      <c r="H232" s="3" t="str">
        <f t="shared" si="18"/>
        <v>Medium</v>
      </c>
      <c r="I232" s="14">
        <f t="shared" ca="1" si="23"/>
        <v>205</v>
      </c>
      <c r="J232" s="15" t="str">
        <f t="shared" si="19"/>
        <v>0010</v>
      </c>
      <c r="K232">
        <f t="shared" si="20"/>
        <v>9</v>
      </c>
      <c r="L232" t="str">
        <f t="shared" si="21"/>
        <v>House</v>
      </c>
      <c r="M232" s="1" t="str">
        <f t="shared" si="21"/>
        <v>Mogadishu</v>
      </c>
      <c r="N232" s="1">
        <f t="shared" si="22"/>
        <v>2026</v>
      </c>
    </row>
    <row r="233" spans="1:14">
      <c r="A233" t="s">
        <v>244</v>
      </c>
      <c r="B233" s="12">
        <v>46119</v>
      </c>
      <c r="C233" t="s">
        <v>8</v>
      </c>
      <c r="D233" t="s">
        <v>6</v>
      </c>
      <c r="E233">
        <v>295</v>
      </c>
      <c r="F233">
        <v>6</v>
      </c>
      <c r="G233" s="3">
        <v>167940.3</v>
      </c>
      <c r="H233" s="3" t="str">
        <f t="shared" si="18"/>
        <v>Medium</v>
      </c>
      <c r="I233" s="14">
        <f t="shared" ca="1" si="23"/>
        <v>140</v>
      </c>
      <c r="J233" s="15" t="str">
        <f t="shared" si="19"/>
        <v>0282</v>
      </c>
      <c r="K233">
        <f t="shared" si="20"/>
        <v>9</v>
      </c>
      <c r="L233" t="str">
        <f t="shared" si="21"/>
        <v>House</v>
      </c>
      <c r="M233" s="1" t="str">
        <f t="shared" si="21"/>
        <v>Mogadishu</v>
      </c>
      <c r="N233" s="1">
        <f t="shared" si="22"/>
        <v>2026</v>
      </c>
    </row>
    <row r="234" spans="1:14">
      <c r="A234" t="s">
        <v>245</v>
      </c>
      <c r="B234" s="12">
        <v>45704</v>
      </c>
      <c r="C234" t="s">
        <v>23</v>
      </c>
      <c r="D234" t="s">
        <v>2</v>
      </c>
      <c r="E234">
        <v>932</v>
      </c>
      <c r="F234">
        <v>0</v>
      </c>
      <c r="G234" s="3">
        <v>381069.18</v>
      </c>
      <c r="H234" s="3" t="str">
        <f t="shared" si="18"/>
        <v>High</v>
      </c>
      <c r="I234" s="14">
        <f t="shared" ca="1" si="23"/>
        <v>555</v>
      </c>
      <c r="J234" s="15" t="str">
        <f t="shared" si="19"/>
        <v>0109</v>
      </c>
      <c r="K234">
        <f t="shared" si="20"/>
        <v>8</v>
      </c>
      <c r="L234" t="str">
        <f t="shared" si="21"/>
        <v>Land</v>
      </c>
      <c r="M234" s="1" t="str">
        <f t="shared" si="21"/>
        <v>Hargeisa</v>
      </c>
      <c r="N234" s="1">
        <f t="shared" si="22"/>
        <v>2025</v>
      </c>
    </row>
    <row r="235" spans="1:14">
      <c r="A235" t="s">
        <v>324</v>
      </c>
      <c r="B235" s="12">
        <v>45740</v>
      </c>
      <c r="C235" t="s">
        <v>1</v>
      </c>
      <c r="D235" t="s">
        <v>2</v>
      </c>
      <c r="E235">
        <v>48</v>
      </c>
      <c r="F235">
        <v>5</v>
      </c>
      <c r="G235" s="3">
        <v>29776.16</v>
      </c>
      <c r="H235" s="3" t="str">
        <f t="shared" si="18"/>
        <v>Low</v>
      </c>
      <c r="I235" s="14">
        <f t="shared" ca="1" si="23"/>
        <v>519</v>
      </c>
      <c r="J235" s="15" t="str">
        <f t="shared" si="19"/>
        <v>wn11</v>
      </c>
      <c r="K235">
        <f t="shared" si="20"/>
        <v>8</v>
      </c>
      <c r="L235" t="str">
        <f t="shared" si="21"/>
        <v>Apartment</v>
      </c>
      <c r="M235" s="1" t="str">
        <f t="shared" si="21"/>
        <v>Hargeisa</v>
      </c>
      <c r="N235" s="1">
        <f t="shared" si="22"/>
        <v>2025</v>
      </c>
    </row>
    <row r="236" spans="1:14">
      <c r="A236" t="s">
        <v>246</v>
      </c>
      <c r="B236" s="12">
        <v>46006</v>
      </c>
      <c r="C236" t="s">
        <v>1</v>
      </c>
      <c r="D236" t="s">
        <v>4</v>
      </c>
      <c r="E236">
        <v>295</v>
      </c>
      <c r="F236">
        <v>1</v>
      </c>
      <c r="G236" s="3">
        <v>26350.21</v>
      </c>
      <c r="H236" s="3" t="str">
        <f t="shared" si="18"/>
        <v>Low</v>
      </c>
      <c r="I236" s="14">
        <f t="shared" ca="1" si="23"/>
        <v>253</v>
      </c>
      <c r="J236" s="15" t="str">
        <f t="shared" si="19"/>
        <v>0034</v>
      </c>
      <c r="K236">
        <f t="shared" si="20"/>
        <v>6</v>
      </c>
      <c r="L236" t="str">
        <f t="shared" si="21"/>
        <v>Apartment</v>
      </c>
      <c r="M236" s="1" t="str">
        <f t="shared" si="21"/>
        <v>Baidoa</v>
      </c>
      <c r="N236" s="1">
        <f t="shared" si="22"/>
        <v>2025</v>
      </c>
    </row>
    <row r="237" spans="1:14">
      <c r="A237" t="s">
        <v>247</v>
      </c>
      <c r="B237" s="12">
        <v>45670</v>
      </c>
      <c r="C237" t="s">
        <v>8</v>
      </c>
      <c r="D237" t="s">
        <v>38</v>
      </c>
      <c r="E237">
        <v>271</v>
      </c>
      <c r="F237">
        <v>3</v>
      </c>
      <c r="G237" s="3">
        <v>164521.60999999999</v>
      </c>
      <c r="H237" s="3" t="str">
        <f t="shared" si="18"/>
        <v>Medium</v>
      </c>
      <c r="I237" s="14">
        <f t="shared" ca="1" si="23"/>
        <v>589</v>
      </c>
      <c r="J237" s="15" t="str">
        <f t="shared" si="19"/>
        <v>0026</v>
      </c>
      <c r="K237">
        <f t="shared" si="20"/>
        <v>7</v>
      </c>
      <c r="L237" t="str">
        <f t="shared" si="21"/>
        <v>House</v>
      </c>
      <c r="M237" s="1" t="str">
        <f t="shared" si="21"/>
        <v>Kismayo</v>
      </c>
      <c r="N237" s="1">
        <f t="shared" si="22"/>
        <v>2025</v>
      </c>
    </row>
    <row r="238" spans="1:14">
      <c r="A238" t="s">
        <v>248</v>
      </c>
      <c r="B238" s="12">
        <v>45881</v>
      </c>
      <c r="C238" t="s">
        <v>313</v>
      </c>
      <c r="D238" t="s">
        <v>6</v>
      </c>
      <c r="E238">
        <v>211</v>
      </c>
      <c r="F238">
        <v>4</v>
      </c>
      <c r="G238" s="3">
        <v>166531.88</v>
      </c>
      <c r="H238" s="3" t="str">
        <f t="shared" si="18"/>
        <v>Medium</v>
      </c>
      <c r="I238" s="14">
        <f t="shared" ca="1" si="23"/>
        <v>378</v>
      </c>
      <c r="J238" s="15" t="str">
        <f t="shared" si="19"/>
        <v>0005</v>
      </c>
      <c r="K238">
        <f t="shared" si="20"/>
        <v>9</v>
      </c>
      <c r="L238" t="str">
        <f t="shared" si="21"/>
        <v>Unknown</v>
      </c>
      <c r="M238" s="1" t="str">
        <f t="shared" si="21"/>
        <v>Mogadishu</v>
      </c>
      <c r="N238" s="1">
        <f t="shared" si="22"/>
        <v>2025</v>
      </c>
    </row>
    <row r="239" spans="1:14">
      <c r="A239" t="s">
        <v>249</v>
      </c>
      <c r="B239" s="12">
        <v>45842</v>
      </c>
      <c r="C239" t="s">
        <v>5</v>
      </c>
      <c r="D239" t="s">
        <v>2</v>
      </c>
      <c r="E239">
        <v>247</v>
      </c>
      <c r="F239">
        <v>1</v>
      </c>
      <c r="G239" s="3">
        <v>166736.47</v>
      </c>
      <c r="H239" s="3" t="str">
        <f t="shared" si="18"/>
        <v>Medium</v>
      </c>
      <c r="I239" s="14">
        <f t="shared" ca="1" si="23"/>
        <v>417</v>
      </c>
      <c r="J239" s="15" t="str">
        <f t="shared" si="19"/>
        <v>0172</v>
      </c>
      <c r="K239">
        <f t="shared" si="20"/>
        <v>8</v>
      </c>
      <c r="L239" t="str">
        <f t="shared" si="21"/>
        <v>Villa</v>
      </c>
      <c r="M239" s="1" t="str">
        <f t="shared" si="21"/>
        <v>Hargeisa</v>
      </c>
      <c r="N239" s="1">
        <f t="shared" si="22"/>
        <v>2025</v>
      </c>
    </row>
    <row r="240" spans="1:14">
      <c r="A240" t="s">
        <v>250</v>
      </c>
      <c r="B240" s="12">
        <v>45864</v>
      </c>
      <c r="C240" t="s">
        <v>1</v>
      </c>
      <c r="D240" t="s">
        <v>6</v>
      </c>
      <c r="E240">
        <v>151</v>
      </c>
      <c r="F240">
        <v>3</v>
      </c>
      <c r="G240" s="3">
        <v>132514.54</v>
      </c>
      <c r="H240" s="3" t="str">
        <f t="shared" si="18"/>
        <v>Medium</v>
      </c>
      <c r="I240" s="14">
        <f t="shared" ca="1" si="23"/>
        <v>395</v>
      </c>
      <c r="J240" s="15" t="str">
        <f t="shared" si="19"/>
        <v>0044</v>
      </c>
      <c r="K240">
        <f t="shared" si="20"/>
        <v>9</v>
      </c>
      <c r="L240" t="str">
        <f t="shared" si="21"/>
        <v>Apartment</v>
      </c>
      <c r="M240" s="1" t="str">
        <f t="shared" si="21"/>
        <v>Mogadishu</v>
      </c>
      <c r="N240" s="1">
        <f t="shared" si="22"/>
        <v>2025</v>
      </c>
    </row>
    <row r="241" spans="1:14">
      <c r="A241" t="s">
        <v>251</v>
      </c>
      <c r="B241" s="12">
        <v>46155</v>
      </c>
      <c r="C241" t="s">
        <v>10</v>
      </c>
      <c r="D241" t="s">
        <v>6</v>
      </c>
      <c r="E241">
        <v>227</v>
      </c>
      <c r="F241">
        <v>0</v>
      </c>
      <c r="G241" s="3">
        <v>203931.01</v>
      </c>
      <c r="H241" s="3" t="str">
        <f t="shared" si="18"/>
        <v>High</v>
      </c>
      <c r="I241" s="14">
        <f t="shared" ca="1" si="23"/>
        <v>104</v>
      </c>
      <c r="J241" s="15" t="str">
        <f t="shared" si="19"/>
        <v>0180</v>
      </c>
      <c r="K241">
        <f t="shared" si="20"/>
        <v>9</v>
      </c>
      <c r="L241" t="str">
        <f t="shared" si="21"/>
        <v>Commercial</v>
      </c>
      <c r="M241" s="1" t="str">
        <f t="shared" si="21"/>
        <v>Mogadishu</v>
      </c>
      <c r="N241" s="1">
        <f t="shared" si="22"/>
        <v>2026</v>
      </c>
    </row>
    <row r="242" spans="1:14">
      <c r="A242" t="s">
        <v>252</v>
      </c>
      <c r="B242" s="12">
        <v>46205</v>
      </c>
      <c r="C242" t="s">
        <v>313</v>
      </c>
      <c r="D242" t="s">
        <v>4</v>
      </c>
      <c r="E242">
        <v>139</v>
      </c>
      <c r="F242">
        <v>5</v>
      </c>
      <c r="G242" s="3">
        <v>55450.17</v>
      </c>
      <c r="H242" s="3" t="str">
        <f t="shared" si="18"/>
        <v>Low</v>
      </c>
      <c r="I242" s="14">
        <f t="shared" ca="1" si="23"/>
        <v>54</v>
      </c>
      <c r="J242" s="15" t="str">
        <f t="shared" si="19"/>
        <v>0095</v>
      </c>
      <c r="K242">
        <f t="shared" si="20"/>
        <v>6</v>
      </c>
      <c r="L242" t="str">
        <f t="shared" si="21"/>
        <v>Unknown</v>
      </c>
      <c r="M242" s="1" t="str">
        <f t="shared" si="21"/>
        <v>Baidoa</v>
      </c>
      <c r="N242" s="1">
        <f t="shared" si="22"/>
        <v>2026</v>
      </c>
    </row>
    <row r="243" spans="1:14">
      <c r="A243" t="s">
        <v>253</v>
      </c>
      <c r="B243" s="12">
        <v>46106</v>
      </c>
      <c r="C243" t="s">
        <v>1</v>
      </c>
      <c r="D243" t="s">
        <v>6</v>
      </c>
      <c r="E243">
        <v>135</v>
      </c>
      <c r="F243">
        <v>5</v>
      </c>
      <c r="G243" s="3">
        <v>101200.25</v>
      </c>
      <c r="H243" s="3" t="str">
        <f t="shared" si="18"/>
        <v>Medium</v>
      </c>
      <c r="I243" s="14">
        <f t="shared" ca="1" si="23"/>
        <v>153</v>
      </c>
      <c r="J243" s="15" t="str">
        <f t="shared" si="19"/>
        <v>0073</v>
      </c>
      <c r="K243">
        <f t="shared" si="20"/>
        <v>9</v>
      </c>
      <c r="L243" t="str">
        <f t="shared" si="21"/>
        <v>Apartment</v>
      </c>
      <c r="M243" s="1" t="str">
        <f t="shared" si="21"/>
        <v>Mogadishu</v>
      </c>
      <c r="N243" s="1">
        <f t="shared" si="22"/>
        <v>2026</v>
      </c>
    </row>
    <row r="244" spans="1:14">
      <c r="A244" t="s">
        <v>254</v>
      </c>
      <c r="B244" s="12">
        <v>45691</v>
      </c>
      <c r="C244" t="s">
        <v>313</v>
      </c>
      <c r="D244" t="s">
        <v>6</v>
      </c>
      <c r="E244">
        <v>964</v>
      </c>
      <c r="F244">
        <v>0</v>
      </c>
      <c r="G244" s="3">
        <v>620677.11</v>
      </c>
      <c r="H244" s="3" t="str">
        <f t="shared" si="18"/>
        <v>High</v>
      </c>
      <c r="I244" s="14">
        <f t="shared" ca="1" si="23"/>
        <v>568</v>
      </c>
      <c r="J244" s="15" t="str">
        <f t="shared" si="19"/>
        <v>0099</v>
      </c>
      <c r="K244">
        <f t="shared" si="20"/>
        <v>9</v>
      </c>
      <c r="L244" t="str">
        <f t="shared" si="21"/>
        <v>Unknown</v>
      </c>
      <c r="M244" s="1" t="str">
        <f t="shared" si="21"/>
        <v>Mogadishu</v>
      </c>
      <c r="N244" s="1">
        <f t="shared" si="22"/>
        <v>2025</v>
      </c>
    </row>
    <row r="245" spans="1:14">
      <c r="A245" t="s">
        <v>255</v>
      </c>
      <c r="B245" s="12">
        <v>45910</v>
      </c>
      <c r="C245" t="s">
        <v>8</v>
      </c>
      <c r="D245" t="s">
        <v>2</v>
      </c>
      <c r="E245">
        <v>153</v>
      </c>
      <c r="F245">
        <v>4</v>
      </c>
      <c r="G245" s="3">
        <v>126438.58</v>
      </c>
      <c r="H245" s="3" t="str">
        <f t="shared" si="18"/>
        <v>Medium</v>
      </c>
      <c r="I245" s="14">
        <f t="shared" ca="1" si="23"/>
        <v>349</v>
      </c>
      <c r="J245" s="15" t="str">
        <f t="shared" si="19"/>
        <v>0126</v>
      </c>
      <c r="K245">
        <f t="shared" si="20"/>
        <v>8</v>
      </c>
      <c r="L245" t="str">
        <f t="shared" si="21"/>
        <v>House</v>
      </c>
      <c r="M245" s="1" t="str">
        <f t="shared" si="21"/>
        <v>Hargeisa</v>
      </c>
      <c r="N245" s="1">
        <f t="shared" si="22"/>
        <v>2025</v>
      </c>
    </row>
    <row r="246" spans="1:14">
      <c r="A246" t="s">
        <v>256</v>
      </c>
      <c r="B246" s="12">
        <v>45795</v>
      </c>
      <c r="C246" t="s">
        <v>23</v>
      </c>
      <c r="D246" t="s">
        <v>36</v>
      </c>
      <c r="E246">
        <v>876</v>
      </c>
      <c r="F246">
        <v>0</v>
      </c>
      <c r="G246" s="3">
        <v>257158.82</v>
      </c>
      <c r="H246" s="3" t="str">
        <f t="shared" si="18"/>
        <v>High</v>
      </c>
      <c r="I246" s="14">
        <f t="shared" ca="1" si="23"/>
        <v>464</v>
      </c>
      <c r="J246" s="15" t="str">
        <f t="shared" si="19"/>
        <v>0082</v>
      </c>
      <c r="K246">
        <f t="shared" si="20"/>
        <v>6</v>
      </c>
      <c r="L246" t="str">
        <f t="shared" si="21"/>
        <v>Land</v>
      </c>
      <c r="M246" s="1" t="str">
        <f t="shared" si="21"/>
        <v>Bosaso</v>
      </c>
      <c r="N246" s="1">
        <f t="shared" si="22"/>
        <v>2025</v>
      </c>
    </row>
    <row r="247" spans="1:14">
      <c r="A247" t="s">
        <v>257</v>
      </c>
      <c r="B247" s="12">
        <v>46140</v>
      </c>
      <c r="C247" t="s">
        <v>1</v>
      </c>
      <c r="D247" t="s">
        <v>2</v>
      </c>
      <c r="E247">
        <v>136</v>
      </c>
      <c r="F247">
        <v>5</v>
      </c>
      <c r="G247" s="3">
        <v>104361.2</v>
      </c>
      <c r="H247" s="3" t="str">
        <f t="shared" si="18"/>
        <v>Medium</v>
      </c>
      <c r="I247" s="14">
        <f t="shared" ca="1" si="23"/>
        <v>119</v>
      </c>
      <c r="J247" s="15" t="str">
        <f t="shared" si="19"/>
        <v>0096</v>
      </c>
      <c r="K247">
        <f t="shared" si="20"/>
        <v>8</v>
      </c>
      <c r="L247" t="str">
        <f t="shared" si="21"/>
        <v>Apartment</v>
      </c>
      <c r="M247" s="1" t="str">
        <f t="shared" si="21"/>
        <v>Hargeisa</v>
      </c>
      <c r="N247" s="1">
        <f t="shared" si="22"/>
        <v>2026</v>
      </c>
    </row>
    <row r="248" spans="1:14">
      <c r="A248" t="s">
        <v>258</v>
      </c>
      <c r="B248" s="12">
        <v>46180</v>
      </c>
      <c r="C248" t="s">
        <v>1</v>
      </c>
      <c r="D248" t="s">
        <v>36</v>
      </c>
      <c r="E248">
        <v>99</v>
      </c>
      <c r="F248">
        <v>2</v>
      </c>
      <c r="G248" s="3">
        <v>60868.21</v>
      </c>
      <c r="H248" s="3" t="str">
        <f t="shared" si="18"/>
        <v>Low</v>
      </c>
      <c r="I248" s="14">
        <f t="shared" ca="1" si="23"/>
        <v>79</v>
      </c>
      <c r="J248" s="15" t="str">
        <f t="shared" si="19"/>
        <v>0237</v>
      </c>
      <c r="K248">
        <f t="shared" si="20"/>
        <v>6</v>
      </c>
      <c r="L248" t="str">
        <f t="shared" si="21"/>
        <v>Apartment</v>
      </c>
      <c r="M248" s="1" t="str">
        <f t="shared" si="21"/>
        <v>Bosaso</v>
      </c>
      <c r="N248" s="1">
        <f t="shared" si="22"/>
        <v>2026</v>
      </c>
    </row>
    <row r="249" spans="1:14">
      <c r="A249" t="s">
        <v>325</v>
      </c>
      <c r="B249" s="12">
        <v>46195</v>
      </c>
      <c r="C249" t="s">
        <v>8</v>
      </c>
      <c r="D249" t="s">
        <v>6</v>
      </c>
      <c r="E249">
        <v>174</v>
      </c>
      <c r="F249">
        <v>1</v>
      </c>
      <c r="G249" s="3">
        <v>118866.51</v>
      </c>
      <c r="H249" s="3" t="str">
        <f t="shared" si="18"/>
        <v>Medium</v>
      </c>
      <c r="I249" s="14">
        <f t="shared" ca="1" si="23"/>
        <v>64</v>
      </c>
      <c r="J249" s="15" t="str">
        <f t="shared" si="19"/>
        <v>wn12</v>
      </c>
      <c r="K249">
        <f t="shared" si="20"/>
        <v>9</v>
      </c>
      <c r="L249" t="str">
        <f t="shared" si="21"/>
        <v>House</v>
      </c>
      <c r="M249" s="1" t="str">
        <f t="shared" si="21"/>
        <v>Mogadishu</v>
      </c>
      <c r="N249" s="1">
        <f t="shared" si="22"/>
        <v>2026</v>
      </c>
    </row>
    <row r="250" spans="1:14">
      <c r="A250" t="s">
        <v>260</v>
      </c>
      <c r="B250" s="12">
        <v>46026</v>
      </c>
      <c r="C250" t="s">
        <v>10</v>
      </c>
      <c r="D250" t="s">
        <v>36</v>
      </c>
      <c r="E250">
        <v>176</v>
      </c>
      <c r="F250">
        <v>0</v>
      </c>
      <c r="G250" s="3">
        <v>178260.23</v>
      </c>
      <c r="H250" s="3" t="str">
        <f t="shared" si="18"/>
        <v>Medium</v>
      </c>
      <c r="I250" s="14">
        <f t="shared" ca="1" si="23"/>
        <v>233</v>
      </c>
      <c r="J250" s="15" t="str">
        <f t="shared" si="19"/>
        <v>0272</v>
      </c>
      <c r="K250">
        <f t="shared" si="20"/>
        <v>6</v>
      </c>
      <c r="L250" t="str">
        <f t="shared" si="21"/>
        <v>Commercial</v>
      </c>
      <c r="M250" s="1" t="str">
        <f t="shared" si="21"/>
        <v>Bosaso</v>
      </c>
      <c r="N250" s="1">
        <f t="shared" si="22"/>
        <v>2026</v>
      </c>
    </row>
    <row r="251" spans="1:14">
      <c r="A251" t="s">
        <v>261</v>
      </c>
      <c r="B251" s="12">
        <v>45666</v>
      </c>
      <c r="C251" t="s">
        <v>8</v>
      </c>
      <c r="D251" t="s">
        <v>6</v>
      </c>
      <c r="E251">
        <v>197</v>
      </c>
      <c r="F251">
        <v>6</v>
      </c>
      <c r="G251" s="3">
        <v>189446.43</v>
      </c>
      <c r="H251" s="3" t="str">
        <f t="shared" si="18"/>
        <v>Medium</v>
      </c>
      <c r="I251" s="14">
        <f t="shared" ca="1" si="23"/>
        <v>593</v>
      </c>
      <c r="J251" s="15" t="str">
        <f t="shared" si="19"/>
        <v>0174</v>
      </c>
      <c r="K251">
        <f t="shared" si="20"/>
        <v>9</v>
      </c>
      <c r="L251" t="str">
        <f t="shared" si="21"/>
        <v>House</v>
      </c>
      <c r="M251" s="1" t="str">
        <f t="shared" si="21"/>
        <v>Mogadishu</v>
      </c>
      <c r="N251" s="1">
        <f t="shared" si="22"/>
        <v>2025</v>
      </c>
    </row>
    <row r="252" spans="1:14">
      <c r="A252" t="s">
        <v>262</v>
      </c>
      <c r="B252" s="12">
        <v>45854</v>
      </c>
      <c r="C252" t="s">
        <v>5</v>
      </c>
      <c r="D252" t="s">
        <v>4</v>
      </c>
      <c r="E252">
        <v>227</v>
      </c>
      <c r="F252">
        <v>6</v>
      </c>
      <c r="G252" s="3">
        <v>90771.99</v>
      </c>
      <c r="H252" s="3" t="str">
        <f t="shared" si="18"/>
        <v>Low</v>
      </c>
      <c r="I252" s="14">
        <f t="shared" ca="1" si="23"/>
        <v>405</v>
      </c>
      <c r="J252" s="15" t="str">
        <f t="shared" si="19"/>
        <v>0098</v>
      </c>
      <c r="K252">
        <f t="shared" si="20"/>
        <v>6</v>
      </c>
      <c r="L252" t="str">
        <f t="shared" si="21"/>
        <v>Villa</v>
      </c>
      <c r="M252" s="1" t="str">
        <f t="shared" si="21"/>
        <v>Baidoa</v>
      </c>
      <c r="N252" s="1">
        <f t="shared" si="22"/>
        <v>2025</v>
      </c>
    </row>
    <row r="253" spans="1:14">
      <c r="A253" t="s">
        <v>263</v>
      </c>
      <c r="B253" s="12">
        <v>46225</v>
      </c>
      <c r="C253" t="s">
        <v>1</v>
      </c>
      <c r="D253" t="s">
        <v>6</v>
      </c>
      <c r="E253">
        <v>143</v>
      </c>
      <c r="F253">
        <v>7</v>
      </c>
      <c r="G253" s="3">
        <v>137022.95000000001</v>
      </c>
      <c r="H253" s="3" t="str">
        <f t="shared" si="18"/>
        <v>Medium</v>
      </c>
      <c r="I253" s="14">
        <f t="shared" ca="1" si="23"/>
        <v>34</v>
      </c>
      <c r="J253" s="15" t="str">
        <f t="shared" si="19"/>
        <v>0206</v>
      </c>
      <c r="K253">
        <f t="shared" si="20"/>
        <v>9</v>
      </c>
      <c r="L253" t="str">
        <f t="shared" si="21"/>
        <v>Apartment</v>
      </c>
      <c r="M253" s="1" t="str">
        <f t="shared" si="21"/>
        <v>Mogadishu</v>
      </c>
      <c r="N253" s="1">
        <f t="shared" si="22"/>
        <v>2026</v>
      </c>
    </row>
    <row r="254" spans="1:14">
      <c r="A254" t="s">
        <v>264</v>
      </c>
      <c r="B254" s="12">
        <v>45709</v>
      </c>
      <c r="C254" t="s">
        <v>10</v>
      </c>
      <c r="D254" t="s">
        <v>36</v>
      </c>
      <c r="E254">
        <v>121</v>
      </c>
      <c r="F254">
        <v>0</v>
      </c>
      <c r="G254" s="3">
        <v>115011.18</v>
      </c>
      <c r="H254" s="3" t="str">
        <f t="shared" si="18"/>
        <v>Medium</v>
      </c>
      <c r="I254" s="14">
        <f t="shared" ca="1" si="23"/>
        <v>550</v>
      </c>
      <c r="J254" s="15" t="str">
        <f t="shared" si="19"/>
        <v>0202</v>
      </c>
      <c r="K254">
        <f t="shared" si="20"/>
        <v>6</v>
      </c>
      <c r="L254" t="str">
        <f t="shared" si="21"/>
        <v>Commercial</v>
      </c>
      <c r="M254" s="1" t="str">
        <f t="shared" si="21"/>
        <v>Bosaso</v>
      </c>
      <c r="N254" s="1">
        <f t="shared" si="22"/>
        <v>2025</v>
      </c>
    </row>
    <row r="255" spans="1:14">
      <c r="A255" t="s">
        <v>265</v>
      </c>
      <c r="B255" s="12">
        <v>46147</v>
      </c>
      <c r="C255" t="s">
        <v>313</v>
      </c>
      <c r="D255" t="s">
        <v>6</v>
      </c>
      <c r="E255">
        <v>220</v>
      </c>
      <c r="F255">
        <v>4</v>
      </c>
      <c r="G255" s="3">
        <v>139367.63</v>
      </c>
      <c r="H255" s="3" t="str">
        <f t="shared" si="18"/>
        <v>Medium</v>
      </c>
      <c r="I255" s="14">
        <f t="shared" ca="1" si="23"/>
        <v>112</v>
      </c>
      <c r="J255" s="15" t="str">
        <f t="shared" si="19"/>
        <v>0163</v>
      </c>
      <c r="K255">
        <f t="shared" si="20"/>
        <v>9</v>
      </c>
      <c r="L255" t="str">
        <f t="shared" si="21"/>
        <v>Unknown</v>
      </c>
      <c r="M255" s="1" t="str">
        <f t="shared" si="21"/>
        <v>Mogadishu</v>
      </c>
      <c r="N255" s="1">
        <f t="shared" si="22"/>
        <v>2026</v>
      </c>
    </row>
    <row r="256" spans="1:14">
      <c r="A256" t="s">
        <v>266</v>
      </c>
      <c r="B256" s="12">
        <v>45977</v>
      </c>
      <c r="C256" t="s">
        <v>1</v>
      </c>
      <c r="D256" t="s">
        <v>6</v>
      </c>
      <c r="E256">
        <v>150</v>
      </c>
      <c r="F256">
        <v>4</v>
      </c>
      <c r="G256" s="3">
        <v>142440.4</v>
      </c>
      <c r="H256" s="3" t="str">
        <f t="shared" si="18"/>
        <v>Medium</v>
      </c>
      <c r="I256" s="14">
        <f t="shared" ca="1" si="23"/>
        <v>282</v>
      </c>
      <c r="J256" s="15" t="str">
        <f t="shared" si="19"/>
        <v>0033</v>
      </c>
      <c r="K256">
        <f t="shared" si="20"/>
        <v>9</v>
      </c>
      <c r="L256" t="str">
        <f t="shared" si="21"/>
        <v>Apartment</v>
      </c>
      <c r="M256" s="1" t="str">
        <f t="shared" si="21"/>
        <v>Mogadishu</v>
      </c>
      <c r="N256" s="1">
        <f t="shared" si="22"/>
        <v>2025</v>
      </c>
    </row>
    <row r="257" spans="1:14">
      <c r="A257" t="s">
        <v>267</v>
      </c>
      <c r="B257" s="12">
        <v>45845</v>
      </c>
      <c r="C257" t="s">
        <v>313</v>
      </c>
      <c r="D257" t="s">
        <v>4</v>
      </c>
      <c r="E257">
        <v>85</v>
      </c>
      <c r="F257">
        <v>2</v>
      </c>
      <c r="G257" s="3">
        <v>31577.45</v>
      </c>
      <c r="H257" s="3" t="str">
        <f t="shared" si="18"/>
        <v>Low</v>
      </c>
      <c r="I257" s="14">
        <f t="shared" ca="1" si="23"/>
        <v>414</v>
      </c>
      <c r="J257" s="15" t="str">
        <f t="shared" si="19"/>
        <v>0052</v>
      </c>
      <c r="K257">
        <f t="shared" si="20"/>
        <v>6</v>
      </c>
      <c r="L257" t="str">
        <f t="shared" si="21"/>
        <v>Unknown</v>
      </c>
      <c r="M257" s="1" t="str">
        <f t="shared" si="21"/>
        <v>Baidoa</v>
      </c>
      <c r="N257" s="1">
        <f t="shared" si="22"/>
        <v>2025</v>
      </c>
    </row>
    <row r="258" spans="1:14">
      <c r="A258" t="s">
        <v>268</v>
      </c>
      <c r="B258" s="12">
        <v>45907</v>
      </c>
      <c r="C258" t="s">
        <v>1</v>
      </c>
      <c r="D258" t="s">
        <v>36</v>
      </c>
      <c r="E258">
        <v>86</v>
      </c>
      <c r="F258">
        <v>4</v>
      </c>
      <c r="G258" s="3">
        <v>52826.79</v>
      </c>
      <c r="H258" s="3" t="str">
        <f t="shared" ref="H258:H293" si="24">_xlfn.IFS(G258&gt;=200000,"High",G258&gt;=100000,"Medium",G258&lt;100000,"Low")</f>
        <v>Low</v>
      </c>
      <c r="I258" s="14">
        <f t="shared" ca="1" si="23"/>
        <v>352</v>
      </c>
      <c r="J258" s="15" t="str">
        <f t="shared" ref="J258:J293" si="25">RIGHT(A258,4)</f>
        <v>0023</v>
      </c>
      <c r="K258">
        <f t="shared" ref="K258:K293" si="26">LEN(D258)</f>
        <v>6</v>
      </c>
      <c r="L258" t="str">
        <f t="shared" ref="L258:M293" si="27">PROPER(C258)</f>
        <v>Apartment</v>
      </c>
      <c r="M258" s="1" t="str">
        <f t="shared" si="27"/>
        <v>Bosaso</v>
      </c>
      <c r="N258" s="1">
        <f t="shared" ref="N258:N293" si="28">IF(B258="Unknown","Unknown",YEAR(B258))</f>
        <v>2025</v>
      </c>
    </row>
    <row r="259" spans="1:14">
      <c r="A259" t="s">
        <v>326</v>
      </c>
      <c r="B259" s="12">
        <v>46218</v>
      </c>
      <c r="C259" t="s">
        <v>23</v>
      </c>
      <c r="D259" t="s">
        <v>6</v>
      </c>
      <c r="E259">
        <v>1178</v>
      </c>
      <c r="F259">
        <v>0</v>
      </c>
      <c r="G259" s="3">
        <v>647780.75</v>
      </c>
      <c r="H259" s="3" t="str">
        <f t="shared" si="24"/>
        <v>High</v>
      </c>
      <c r="I259" s="14">
        <f t="shared" ref="I259:I293" ca="1" si="29">IF(OR(B259="Unknown",B259=""),"Unknown",TODAY()-B259)</f>
        <v>41</v>
      </c>
      <c r="J259" s="15" t="str">
        <f t="shared" si="25"/>
        <v>wn13</v>
      </c>
      <c r="K259">
        <f t="shared" si="26"/>
        <v>9</v>
      </c>
      <c r="L259" t="str">
        <f t="shared" si="27"/>
        <v>Land</v>
      </c>
      <c r="M259" s="1" t="str">
        <f t="shared" si="27"/>
        <v>Mogadishu</v>
      </c>
      <c r="N259" s="1">
        <f t="shared" si="28"/>
        <v>2026</v>
      </c>
    </row>
    <row r="260" spans="1:14">
      <c r="A260" t="s">
        <v>269</v>
      </c>
      <c r="B260" s="12">
        <v>46137</v>
      </c>
      <c r="C260" t="s">
        <v>5</v>
      </c>
      <c r="D260" t="s">
        <v>313</v>
      </c>
      <c r="E260">
        <v>351</v>
      </c>
      <c r="F260">
        <v>4</v>
      </c>
      <c r="G260" s="3">
        <v>393930.75</v>
      </c>
      <c r="H260" s="3" t="str">
        <f t="shared" si="24"/>
        <v>High</v>
      </c>
      <c r="I260" s="14">
        <f t="shared" ca="1" si="29"/>
        <v>122</v>
      </c>
      <c r="J260" s="15" t="str">
        <f t="shared" si="25"/>
        <v>0065</v>
      </c>
      <c r="K260">
        <f t="shared" si="26"/>
        <v>7</v>
      </c>
      <c r="L260" t="str">
        <f t="shared" si="27"/>
        <v>Villa</v>
      </c>
      <c r="M260" s="1" t="str">
        <f t="shared" si="27"/>
        <v>Unknown</v>
      </c>
      <c r="N260" s="1">
        <f t="shared" si="28"/>
        <v>2026</v>
      </c>
    </row>
    <row r="261" spans="1:14">
      <c r="A261" t="s">
        <v>270</v>
      </c>
      <c r="B261" s="12">
        <v>46028</v>
      </c>
      <c r="C261" t="s">
        <v>5</v>
      </c>
      <c r="D261" t="s">
        <v>313</v>
      </c>
      <c r="E261">
        <v>206</v>
      </c>
      <c r="F261">
        <v>2</v>
      </c>
      <c r="G261" s="3">
        <v>129894.71</v>
      </c>
      <c r="H261" s="3" t="str">
        <f t="shared" si="24"/>
        <v>Medium</v>
      </c>
      <c r="I261" s="14">
        <f t="shared" ca="1" si="29"/>
        <v>231</v>
      </c>
      <c r="J261" s="15" t="str">
        <f t="shared" si="25"/>
        <v>0124</v>
      </c>
      <c r="K261">
        <f t="shared" si="26"/>
        <v>7</v>
      </c>
      <c r="L261" t="str">
        <f t="shared" si="27"/>
        <v>Villa</v>
      </c>
      <c r="M261" s="1" t="str">
        <f t="shared" si="27"/>
        <v>Unknown</v>
      </c>
      <c r="N261" s="1">
        <f t="shared" si="28"/>
        <v>2026</v>
      </c>
    </row>
    <row r="262" spans="1:14">
      <c r="A262" t="s">
        <v>271</v>
      </c>
      <c r="B262" s="12">
        <v>45983</v>
      </c>
      <c r="C262" t="s">
        <v>1</v>
      </c>
      <c r="D262" t="s">
        <v>36</v>
      </c>
      <c r="E262">
        <v>140</v>
      </c>
      <c r="F262">
        <v>1</v>
      </c>
      <c r="G262" s="3">
        <v>71176.98</v>
      </c>
      <c r="H262" s="3" t="str">
        <f t="shared" si="24"/>
        <v>Low</v>
      </c>
      <c r="I262" s="14">
        <f t="shared" ca="1" si="29"/>
        <v>276</v>
      </c>
      <c r="J262" s="15" t="str">
        <f t="shared" si="25"/>
        <v>0015</v>
      </c>
      <c r="K262">
        <f t="shared" si="26"/>
        <v>6</v>
      </c>
      <c r="L262" t="str">
        <f t="shared" si="27"/>
        <v>Apartment</v>
      </c>
      <c r="M262" s="1" t="str">
        <f t="shared" si="27"/>
        <v>Bosaso</v>
      </c>
      <c r="N262" s="1">
        <f t="shared" si="28"/>
        <v>2025</v>
      </c>
    </row>
    <row r="263" spans="1:14">
      <c r="A263" t="s">
        <v>272</v>
      </c>
      <c r="B263" s="12">
        <v>46200</v>
      </c>
      <c r="C263" t="s">
        <v>5</v>
      </c>
      <c r="D263" t="s">
        <v>6</v>
      </c>
      <c r="E263">
        <v>446</v>
      </c>
      <c r="F263">
        <v>2</v>
      </c>
      <c r="G263" s="3">
        <v>411454.97</v>
      </c>
      <c r="H263" s="3" t="str">
        <f t="shared" si="24"/>
        <v>High</v>
      </c>
      <c r="I263" s="14">
        <f t="shared" ca="1" si="29"/>
        <v>59</v>
      </c>
      <c r="J263" s="15" t="str">
        <f t="shared" si="25"/>
        <v>0179</v>
      </c>
      <c r="K263">
        <f t="shared" si="26"/>
        <v>9</v>
      </c>
      <c r="L263" t="str">
        <f t="shared" si="27"/>
        <v>Villa</v>
      </c>
      <c r="M263" s="1" t="str">
        <f t="shared" si="27"/>
        <v>Mogadishu</v>
      </c>
      <c r="N263" s="1">
        <f t="shared" si="28"/>
        <v>2026</v>
      </c>
    </row>
    <row r="264" spans="1:14">
      <c r="A264" t="s">
        <v>274</v>
      </c>
      <c r="B264" s="12">
        <v>46118</v>
      </c>
      <c r="C264" t="s">
        <v>1</v>
      </c>
      <c r="D264" t="s">
        <v>39</v>
      </c>
      <c r="E264">
        <v>156</v>
      </c>
      <c r="F264">
        <v>3</v>
      </c>
      <c r="G264" s="3">
        <v>93585.85</v>
      </c>
      <c r="H264" s="3" t="str">
        <f t="shared" si="24"/>
        <v>Low</v>
      </c>
      <c r="I264" s="14">
        <f t="shared" ca="1" si="29"/>
        <v>141</v>
      </c>
      <c r="J264" s="15" t="str">
        <f t="shared" si="25"/>
        <v>0238</v>
      </c>
      <c r="K264">
        <f t="shared" si="26"/>
        <v>6</v>
      </c>
      <c r="L264" t="str">
        <f t="shared" si="27"/>
        <v>Apartment</v>
      </c>
      <c r="M264" s="1" t="str">
        <f t="shared" si="27"/>
        <v>Garowe</v>
      </c>
      <c r="N264" s="1">
        <f t="shared" si="28"/>
        <v>2026</v>
      </c>
    </row>
    <row r="265" spans="1:14">
      <c r="A265" t="s">
        <v>327</v>
      </c>
      <c r="B265" s="12">
        <v>45674</v>
      </c>
      <c r="C265" t="s">
        <v>1</v>
      </c>
      <c r="D265" t="s">
        <v>36</v>
      </c>
      <c r="E265">
        <v>54</v>
      </c>
      <c r="F265">
        <v>6</v>
      </c>
      <c r="G265" s="3">
        <v>28982.99</v>
      </c>
      <c r="H265" s="3" t="str">
        <f t="shared" si="24"/>
        <v>Low</v>
      </c>
      <c r="I265" s="14">
        <f t="shared" ca="1" si="29"/>
        <v>585</v>
      </c>
      <c r="J265" s="15" t="str">
        <f t="shared" si="25"/>
        <v>wn14</v>
      </c>
      <c r="K265">
        <f t="shared" si="26"/>
        <v>6</v>
      </c>
      <c r="L265" t="str">
        <f t="shared" si="27"/>
        <v>Apartment</v>
      </c>
      <c r="M265" s="1" t="str">
        <f t="shared" si="27"/>
        <v>Bosaso</v>
      </c>
      <c r="N265" s="1">
        <f t="shared" si="28"/>
        <v>2025</v>
      </c>
    </row>
    <row r="266" spans="1:14">
      <c r="A266" t="s">
        <v>275</v>
      </c>
      <c r="B266" s="12">
        <v>45979</v>
      </c>
      <c r="C266" t="s">
        <v>8</v>
      </c>
      <c r="D266" t="s">
        <v>36</v>
      </c>
      <c r="E266">
        <v>129</v>
      </c>
      <c r="F266">
        <v>2</v>
      </c>
      <c r="G266" s="3">
        <v>90085.26</v>
      </c>
      <c r="H266" s="3" t="str">
        <f t="shared" si="24"/>
        <v>Low</v>
      </c>
      <c r="I266" s="14">
        <f t="shared" ca="1" si="29"/>
        <v>280</v>
      </c>
      <c r="J266" s="15" t="str">
        <f t="shared" si="25"/>
        <v>0049</v>
      </c>
      <c r="K266">
        <f t="shared" si="26"/>
        <v>6</v>
      </c>
      <c r="L266" t="str">
        <f t="shared" si="27"/>
        <v>House</v>
      </c>
      <c r="M266" s="1" t="str">
        <f t="shared" si="27"/>
        <v>Bosaso</v>
      </c>
      <c r="N266" s="1">
        <f t="shared" si="28"/>
        <v>2025</v>
      </c>
    </row>
    <row r="267" spans="1:14">
      <c r="A267" t="s">
        <v>207</v>
      </c>
      <c r="B267" s="12">
        <v>45680</v>
      </c>
      <c r="C267" t="s">
        <v>8</v>
      </c>
      <c r="D267" t="s">
        <v>39</v>
      </c>
      <c r="E267">
        <v>275</v>
      </c>
      <c r="F267">
        <v>5</v>
      </c>
      <c r="G267" s="3">
        <v>139716.45000000001</v>
      </c>
      <c r="H267" s="3" t="str">
        <f t="shared" si="24"/>
        <v>Medium</v>
      </c>
      <c r="I267" s="14">
        <f t="shared" ca="1" si="29"/>
        <v>579</v>
      </c>
      <c r="J267" s="15" t="str">
        <f t="shared" si="25"/>
        <v>0046</v>
      </c>
      <c r="K267">
        <f t="shared" si="26"/>
        <v>6</v>
      </c>
      <c r="L267" t="str">
        <f t="shared" si="27"/>
        <v>House</v>
      </c>
      <c r="M267" s="1" t="str">
        <f t="shared" si="27"/>
        <v>Garowe</v>
      </c>
      <c r="N267" s="1">
        <f t="shared" si="28"/>
        <v>2025</v>
      </c>
    </row>
    <row r="268" spans="1:14">
      <c r="A268" t="s">
        <v>276</v>
      </c>
      <c r="B268" s="12">
        <v>45964</v>
      </c>
      <c r="C268" t="s">
        <v>10</v>
      </c>
      <c r="D268" t="s">
        <v>6</v>
      </c>
      <c r="E268">
        <v>379</v>
      </c>
      <c r="F268">
        <v>0</v>
      </c>
      <c r="G268" s="3">
        <v>367240.24</v>
      </c>
      <c r="H268" s="3" t="str">
        <f t="shared" si="24"/>
        <v>High</v>
      </c>
      <c r="I268" s="14">
        <f t="shared" ca="1" si="29"/>
        <v>295</v>
      </c>
      <c r="J268" s="15" t="str">
        <f t="shared" si="25"/>
        <v>0176</v>
      </c>
      <c r="K268">
        <f t="shared" si="26"/>
        <v>9</v>
      </c>
      <c r="L268" t="str">
        <f t="shared" si="27"/>
        <v>Commercial</v>
      </c>
      <c r="M268" s="1" t="str">
        <f t="shared" si="27"/>
        <v>Mogadishu</v>
      </c>
      <c r="N268" s="1">
        <f t="shared" si="28"/>
        <v>2025</v>
      </c>
    </row>
    <row r="269" spans="1:14">
      <c r="A269" t="s">
        <v>277</v>
      </c>
      <c r="B269" s="12">
        <v>46058</v>
      </c>
      <c r="C269" t="s">
        <v>10</v>
      </c>
      <c r="D269" t="s">
        <v>4</v>
      </c>
      <c r="E269">
        <v>438</v>
      </c>
      <c r="F269">
        <v>0</v>
      </c>
      <c r="G269" s="3">
        <v>320632.78999999998</v>
      </c>
      <c r="H269" s="3" t="str">
        <f t="shared" si="24"/>
        <v>High</v>
      </c>
      <c r="I269" s="14">
        <f t="shared" ca="1" si="29"/>
        <v>201</v>
      </c>
      <c r="J269" s="15" t="str">
        <f t="shared" si="25"/>
        <v>0186</v>
      </c>
      <c r="K269">
        <f t="shared" si="26"/>
        <v>6</v>
      </c>
      <c r="L269" t="str">
        <f t="shared" si="27"/>
        <v>Commercial</v>
      </c>
      <c r="M269" s="1" t="str">
        <f t="shared" si="27"/>
        <v>Baidoa</v>
      </c>
      <c r="N269" s="1">
        <f t="shared" si="28"/>
        <v>2026</v>
      </c>
    </row>
    <row r="270" spans="1:14">
      <c r="A270" t="s">
        <v>278</v>
      </c>
      <c r="B270" s="12">
        <v>46136</v>
      </c>
      <c r="C270" t="s">
        <v>1</v>
      </c>
      <c r="D270" t="s">
        <v>39</v>
      </c>
      <c r="E270">
        <v>295</v>
      </c>
      <c r="F270">
        <v>4</v>
      </c>
      <c r="G270" s="3">
        <v>30944.31</v>
      </c>
      <c r="H270" s="3" t="str">
        <f t="shared" si="24"/>
        <v>Low</v>
      </c>
      <c r="I270" s="14">
        <f t="shared" ca="1" si="29"/>
        <v>123</v>
      </c>
      <c r="J270" s="15" t="str">
        <f t="shared" si="25"/>
        <v>0275</v>
      </c>
      <c r="K270">
        <f t="shared" si="26"/>
        <v>6</v>
      </c>
      <c r="L270" t="str">
        <f t="shared" si="27"/>
        <v>Apartment</v>
      </c>
      <c r="M270" s="1" t="str">
        <f t="shared" si="27"/>
        <v>Garowe</v>
      </c>
      <c r="N270" s="1">
        <f t="shared" si="28"/>
        <v>2026</v>
      </c>
    </row>
    <row r="271" spans="1:14">
      <c r="A271" t="s">
        <v>279</v>
      </c>
      <c r="B271" s="12">
        <v>46128</v>
      </c>
      <c r="C271" t="s">
        <v>8</v>
      </c>
      <c r="D271" t="s">
        <v>6</v>
      </c>
      <c r="E271">
        <v>247</v>
      </c>
      <c r="F271">
        <v>2</v>
      </c>
      <c r="G271" s="3">
        <v>199671.1</v>
      </c>
      <c r="H271" s="3" t="str">
        <f t="shared" si="24"/>
        <v>Medium</v>
      </c>
      <c r="I271" s="14">
        <f t="shared" ca="1" si="29"/>
        <v>131</v>
      </c>
      <c r="J271" s="15" t="str">
        <f t="shared" si="25"/>
        <v>0014</v>
      </c>
      <c r="K271">
        <f t="shared" si="26"/>
        <v>9</v>
      </c>
      <c r="L271" t="str">
        <f t="shared" si="27"/>
        <v>House</v>
      </c>
      <c r="M271" s="1" t="str">
        <f t="shared" si="27"/>
        <v>Mogadishu</v>
      </c>
      <c r="N271" s="1">
        <f t="shared" si="28"/>
        <v>2026</v>
      </c>
    </row>
    <row r="272" spans="1:14">
      <c r="A272" t="s">
        <v>280</v>
      </c>
      <c r="B272" s="12">
        <v>46170</v>
      </c>
      <c r="C272" t="s">
        <v>23</v>
      </c>
      <c r="D272" t="s">
        <v>6</v>
      </c>
      <c r="E272">
        <v>178</v>
      </c>
      <c r="F272">
        <v>0</v>
      </c>
      <c r="G272" s="3">
        <v>98954.2</v>
      </c>
      <c r="H272" s="3" t="str">
        <f t="shared" si="24"/>
        <v>Low</v>
      </c>
      <c r="I272" s="14">
        <f t="shared" ca="1" si="29"/>
        <v>89</v>
      </c>
      <c r="J272" s="15" t="str">
        <f t="shared" si="25"/>
        <v>0198</v>
      </c>
      <c r="K272">
        <f t="shared" si="26"/>
        <v>9</v>
      </c>
      <c r="L272" t="str">
        <f t="shared" si="27"/>
        <v>Land</v>
      </c>
      <c r="M272" s="1" t="str">
        <f t="shared" si="27"/>
        <v>Mogadishu</v>
      </c>
      <c r="N272" s="1">
        <f t="shared" si="28"/>
        <v>2026</v>
      </c>
    </row>
    <row r="273" spans="1:14">
      <c r="A273" t="s">
        <v>281</v>
      </c>
      <c r="B273" s="12">
        <v>45758</v>
      </c>
      <c r="C273" t="s">
        <v>1</v>
      </c>
      <c r="D273" t="s">
        <v>2</v>
      </c>
      <c r="E273">
        <v>120</v>
      </c>
      <c r="F273">
        <v>4</v>
      </c>
      <c r="G273" s="3">
        <v>79125.929999999993</v>
      </c>
      <c r="H273" s="3" t="str">
        <f t="shared" si="24"/>
        <v>Low</v>
      </c>
      <c r="I273" s="14">
        <f t="shared" ca="1" si="29"/>
        <v>501</v>
      </c>
      <c r="J273" s="15" t="str">
        <f t="shared" si="25"/>
        <v>0004</v>
      </c>
      <c r="K273">
        <f t="shared" si="26"/>
        <v>8</v>
      </c>
      <c r="L273" t="str">
        <f t="shared" si="27"/>
        <v>Apartment</v>
      </c>
      <c r="M273" s="1" t="str">
        <f t="shared" si="27"/>
        <v>Hargeisa</v>
      </c>
      <c r="N273" s="1">
        <f t="shared" si="28"/>
        <v>2025</v>
      </c>
    </row>
    <row r="274" spans="1:14">
      <c r="A274" t="s">
        <v>282</v>
      </c>
      <c r="B274" s="12">
        <v>46103</v>
      </c>
      <c r="C274" t="s">
        <v>8</v>
      </c>
      <c r="D274" t="s">
        <v>6</v>
      </c>
      <c r="E274">
        <v>155</v>
      </c>
      <c r="F274">
        <v>4</v>
      </c>
      <c r="G274" s="3">
        <v>126254.52</v>
      </c>
      <c r="H274" s="3" t="str">
        <f t="shared" si="24"/>
        <v>Medium</v>
      </c>
      <c r="I274" s="14">
        <f t="shared" ca="1" si="29"/>
        <v>156</v>
      </c>
      <c r="J274" s="15" t="str">
        <f t="shared" si="25"/>
        <v>0048</v>
      </c>
      <c r="K274">
        <f t="shared" si="26"/>
        <v>9</v>
      </c>
      <c r="L274" t="str">
        <f t="shared" si="27"/>
        <v>House</v>
      </c>
      <c r="M274" s="1" t="str">
        <f t="shared" si="27"/>
        <v>Mogadishu</v>
      </c>
      <c r="N274" s="1">
        <f t="shared" si="28"/>
        <v>2026</v>
      </c>
    </row>
    <row r="275" spans="1:14">
      <c r="A275" t="s">
        <v>283</v>
      </c>
      <c r="B275" s="12">
        <v>45720</v>
      </c>
      <c r="C275" t="s">
        <v>5</v>
      </c>
      <c r="D275" t="s">
        <v>313</v>
      </c>
      <c r="E275">
        <v>336</v>
      </c>
      <c r="F275">
        <v>5</v>
      </c>
      <c r="G275" s="3">
        <v>212203.17</v>
      </c>
      <c r="H275" s="3" t="str">
        <f t="shared" si="24"/>
        <v>High</v>
      </c>
      <c r="I275" s="14">
        <f t="shared" ca="1" si="29"/>
        <v>539</v>
      </c>
      <c r="J275" s="15" t="str">
        <f t="shared" si="25"/>
        <v>0037</v>
      </c>
      <c r="K275">
        <f t="shared" si="26"/>
        <v>7</v>
      </c>
      <c r="L275" t="str">
        <f t="shared" si="27"/>
        <v>Villa</v>
      </c>
      <c r="M275" s="1" t="str">
        <f t="shared" si="27"/>
        <v>Unknown</v>
      </c>
      <c r="N275" s="1">
        <f t="shared" si="28"/>
        <v>2025</v>
      </c>
    </row>
    <row r="276" spans="1:14">
      <c r="A276" t="s">
        <v>284</v>
      </c>
      <c r="B276" s="12">
        <v>45851</v>
      </c>
      <c r="C276" t="s">
        <v>1</v>
      </c>
      <c r="D276" t="s">
        <v>39</v>
      </c>
      <c r="E276">
        <v>63</v>
      </c>
      <c r="F276">
        <v>3</v>
      </c>
      <c r="G276" s="3">
        <v>31555.03</v>
      </c>
      <c r="H276" s="3" t="str">
        <f t="shared" si="24"/>
        <v>Low</v>
      </c>
      <c r="I276" s="14">
        <f t="shared" ca="1" si="29"/>
        <v>408</v>
      </c>
      <c r="J276" s="15" t="str">
        <f t="shared" si="25"/>
        <v>0067</v>
      </c>
      <c r="K276">
        <f t="shared" si="26"/>
        <v>6</v>
      </c>
      <c r="L276" t="str">
        <f t="shared" si="27"/>
        <v>Apartment</v>
      </c>
      <c r="M276" s="1" t="str">
        <f t="shared" si="27"/>
        <v>Garowe</v>
      </c>
      <c r="N276" s="1">
        <f t="shared" si="28"/>
        <v>2025</v>
      </c>
    </row>
    <row r="277" spans="1:14">
      <c r="A277" t="s">
        <v>285</v>
      </c>
      <c r="B277" s="12">
        <v>45900</v>
      </c>
      <c r="C277" t="s">
        <v>1</v>
      </c>
      <c r="D277" t="s">
        <v>39</v>
      </c>
      <c r="E277">
        <v>75</v>
      </c>
      <c r="F277">
        <v>2</v>
      </c>
      <c r="G277" s="3">
        <v>36230.51</v>
      </c>
      <c r="H277" s="3" t="str">
        <f t="shared" si="24"/>
        <v>Low</v>
      </c>
      <c r="I277" s="14">
        <f t="shared" ca="1" si="29"/>
        <v>359</v>
      </c>
      <c r="J277" s="15" t="str">
        <f t="shared" si="25"/>
        <v>0219</v>
      </c>
      <c r="K277">
        <f t="shared" si="26"/>
        <v>6</v>
      </c>
      <c r="L277" t="str">
        <f t="shared" si="27"/>
        <v>Apartment</v>
      </c>
      <c r="M277" s="1" t="str">
        <f t="shared" si="27"/>
        <v>Garowe</v>
      </c>
      <c r="N277" s="1">
        <f t="shared" si="28"/>
        <v>2025</v>
      </c>
    </row>
    <row r="278" spans="1:14">
      <c r="A278" t="s">
        <v>286</v>
      </c>
      <c r="B278" s="12">
        <v>46127</v>
      </c>
      <c r="C278" t="s">
        <v>313</v>
      </c>
      <c r="D278" t="s">
        <v>313</v>
      </c>
      <c r="E278">
        <v>1088</v>
      </c>
      <c r="F278">
        <v>0</v>
      </c>
      <c r="G278" s="3">
        <v>345994.4</v>
      </c>
      <c r="H278" s="3" t="str">
        <f t="shared" si="24"/>
        <v>High</v>
      </c>
      <c r="I278" s="14">
        <f t="shared" ca="1" si="29"/>
        <v>132</v>
      </c>
      <c r="J278" s="15" t="str">
        <f t="shared" si="25"/>
        <v>0038</v>
      </c>
      <c r="K278">
        <f t="shared" si="26"/>
        <v>7</v>
      </c>
      <c r="L278" t="str">
        <f t="shared" si="27"/>
        <v>Unknown</v>
      </c>
      <c r="M278" s="1" t="str">
        <f t="shared" si="27"/>
        <v>Unknown</v>
      </c>
      <c r="N278" s="1">
        <f t="shared" si="28"/>
        <v>2026</v>
      </c>
    </row>
    <row r="279" spans="1:14">
      <c r="A279" t="s">
        <v>287</v>
      </c>
      <c r="B279" s="12">
        <v>46067</v>
      </c>
      <c r="C279" t="s">
        <v>1</v>
      </c>
      <c r="D279" t="s">
        <v>6</v>
      </c>
      <c r="E279">
        <v>153</v>
      </c>
      <c r="F279">
        <v>3</v>
      </c>
      <c r="G279" s="3">
        <v>145555.35</v>
      </c>
      <c r="H279" s="3" t="str">
        <f t="shared" si="24"/>
        <v>Medium</v>
      </c>
      <c r="I279" s="14">
        <f t="shared" ca="1" si="29"/>
        <v>192</v>
      </c>
      <c r="J279" s="15" t="str">
        <f t="shared" si="25"/>
        <v>0270</v>
      </c>
      <c r="K279">
        <f t="shared" si="26"/>
        <v>9</v>
      </c>
      <c r="L279" t="str">
        <f t="shared" si="27"/>
        <v>Apartment</v>
      </c>
      <c r="M279" s="1" t="str">
        <f t="shared" si="27"/>
        <v>Mogadishu</v>
      </c>
      <c r="N279" s="1">
        <f t="shared" si="28"/>
        <v>2026</v>
      </c>
    </row>
    <row r="280" spans="1:14">
      <c r="A280" t="s">
        <v>288</v>
      </c>
      <c r="B280" s="12">
        <v>46223</v>
      </c>
      <c r="C280" t="s">
        <v>5</v>
      </c>
      <c r="D280" t="s">
        <v>36</v>
      </c>
      <c r="E280">
        <v>221</v>
      </c>
      <c r="F280">
        <v>3</v>
      </c>
      <c r="G280" s="3">
        <v>135679.79</v>
      </c>
      <c r="H280" s="3" t="str">
        <f t="shared" si="24"/>
        <v>Medium</v>
      </c>
      <c r="I280" s="14">
        <f t="shared" ca="1" si="29"/>
        <v>36</v>
      </c>
      <c r="J280" s="15" t="str">
        <f t="shared" si="25"/>
        <v>0201</v>
      </c>
      <c r="K280">
        <f t="shared" si="26"/>
        <v>6</v>
      </c>
      <c r="L280" t="str">
        <f t="shared" si="27"/>
        <v>Villa</v>
      </c>
      <c r="M280" s="1" t="str">
        <f t="shared" si="27"/>
        <v>Bosaso</v>
      </c>
      <c r="N280" s="1">
        <f t="shared" si="28"/>
        <v>2026</v>
      </c>
    </row>
    <row r="281" spans="1:14">
      <c r="A281" t="s">
        <v>289</v>
      </c>
      <c r="B281" s="12">
        <v>45845</v>
      </c>
      <c r="C281" t="s">
        <v>10</v>
      </c>
      <c r="D281" t="s">
        <v>6</v>
      </c>
      <c r="E281">
        <v>109</v>
      </c>
      <c r="F281">
        <v>0</v>
      </c>
      <c r="G281" s="3">
        <v>132337.57</v>
      </c>
      <c r="H281" s="3" t="str">
        <f t="shared" si="24"/>
        <v>Medium</v>
      </c>
      <c r="I281" s="14">
        <f t="shared" ca="1" si="29"/>
        <v>414</v>
      </c>
      <c r="J281" s="15" t="str">
        <f t="shared" si="25"/>
        <v>0162</v>
      </c>
      <c r="K281">
        <f t="shared" si="26"/>
        <v>9</v>
      </c>
      <c r="L281" t="str">
        <f t="shared" si="27"/>
        <v>Commercial</v>
      </c>
      <c r="M281" s="1" t="str">
        <f t="shared" si="27"/>
        <v>Mogadishu</v>
      </c>
      <c r="N281" s="1">
        <f t="shared" si="28"/>
        <v>2025</v>
      </c>
    </row>
    <row r="282" spans="1:14">
      <c r="A282" t="s">
        <v>290</v>
      </c>
      <c r="B282" s="12">
        <v>45712</v>
      </c>
      <c r="C282" t="s">
        <v>8</v>
      </c>
      <c r="D282" t="s">
        <v>38</v>
      </c>
      <c r="E282">
        <v>167</v>
      </c>
      <c r="F282">
        <v>4</v>
      </c>
      <c r="G282" s="3">
        <v>65924.83</v>
      </c>
      <c r="H282" s="3" t="str">
        <f t="shared" si="24"/>
        <v>Low</v>
      </c>
      <c r="I282" s="14">
        <f t="shared" ca="1" si="29"/>
        <v>547</v>
      </c>
      <c r="J282" s="15" t="str">
        <f t="shared" si="25"/>
        <v>0292</v>
      </c>
      <c r="K282">
        <f t="shared" si="26"/>
        <v>7</v>
      </c>
      <c r="L282" t="str">
        <f t="shared" si="27"/>
        <v>House</v>
      </c>
      <c r="M282" s="1" t="str">
        <f t="shared" si="27"/>
        <v>Kismayo</v>
      </c>
      <c r="N282" s="1">
        <f t="shared" si="28"/>
        <v>2025</v>
      </c>
    </row>
    <row r="283" spans="1:14">
      <c r="A283" t="s">
        <v>291</v>
      </c>
      <c r="B283" s="12">
        <v>45751</v>
      </c>
      <c r="C283" t="s">
        <v>8</v>
      </c>
      <c r="D283" t="s">
        <v>6</v>
      </c>
      <c r="E283">
        <v>221</v>
      </c>
      <c r="F283">
        <v>2</v>
      </c>
      <c r="G283" s="3">
        <v>230649.13</v>
      </c>
      <c r="H283" s="3" t="str">
        <f t="shared" si="24"/>
        <v>High</v>
      </c>
      <c r="I283" s="14">
        <f t="shared" ca="1" si="29"/>
        <v>508</v>
      </c>
      <c r="J283" s="15" t="str">
        <f t="shared" si="25"/>
        <v>0055</v>
      </c>
      <c r="K283">
        <f t="shared" si="26"/>
        <v>9</v>
      </c>
      <c r="L283" t="str">
        <f t="shared" si="27"/>
        <v>House</v>
      </c>
      <c r="M283" s="1" t="str">
        <f t="shared" si="27"/>
        <v>Mogadishu</v>
      </c>
      <c r="N283" s="1">
        <f t="shared" si="28"/>
        <v>2025</v>
      </c>
    </row>
    <row r="284" spans="1:14">
      <c r="A284" t="s">
        <v>292</v>
      </c>
      <c r="B284" s="12">
        <v>46028</v>
      </c>
      <c r="C284" t="s">
        <v>313</v>
      </c>
      <c r="D284" t="s">
        <v>4</v>
      </c>
      <c r="E284">
        <v>59</v>
      </c>
      <c r="F284">
        <v>1</v>
      </c>
      <c r="G284" s="3">
        <v>19255.29</v>
      </c>
      <c r="H284" s="3" t="str">
        <f t="shared" si="24"/>
        <v>Low</v>
      </c>
      <c r="I284" s="14">
        <f t="shared" ca="1" si="29"/>
        <v>231</v>
      </c>
      <c r="J284" s="15" t="str">
        <f t="shared" si="25"/>
        <v>0116</v>
      </c>
      <c r="K284">
        <f t="shared" si="26"/>
        <v>6</v>
      </c>
      <c r="L284" t="str">
        <f t="shared" si="27"/>
        <v>Unknown</v>
      </c>
      <c r="M284" s="1" t="str">
        <f t="shared" si="27"/>
        <v>Baidoa</v>
      </c>
      <c r="N284" s="1">
        <f t="shared" si="28"/>
        <v>2026</v>
      </c>
    </row>
    <row r="285" spans="1:14">
      <c r="A285" t="s">
        <v>293</v>
      </c>
      <c r="B285" s="12">
        <v>45820</v>
      </c>
      <c r="C285" t="s">
        <v>8</v>
      </c>
      <c r="D285" t="s">
        <v>39</v>
      </c>
      <c r="E285">
        <v>106</v>
      </c>
      <c r="F285">
        <v>3</v>
      </c>
      <c r="G285" s="3">
        <v>178260.23</v>
      </c>
      <c r="H285" s="3" t="str">
        <f t="shared" si="24"/>
        <v>Medium</v>
      </c>
      <c r="I285" s="14">
        <f t="shared" ca="1" si="29"/>
        <v>439</v>
      </c>
      <c r="J285" s="15" t="str">
        <f t="shared" si="25"/>
        <v>0211</v>
      </c>
      <c r="K285">
        <f t="shared" si="26"/>
        <v>6</v>
      </c>
      <c r="L285" t="str">
        <f t="shared" si="27"/>
        <v>House</v>
      </c>
      <c r="M285" s="1" t="str">
        <f t="shared" si="27"/>
        <v>Garowe</v>
      </c>
      <c r="N285" s="1">
        <f t="shared" si="28"/>
        <v>2025</v>
      </c>
    </row>
    <row r="286" spans="1:14">
      <c r="A286" t="s">
        <v>294</v>
      </c>
      <c r="B286" s="12">
        <v>46010</v>
      </c>
      <c r="C286" t="s">
        <v>5</v>
      </c>
      <c r="D286" t="s">
        <v>38</v>
      </c>
      <c r="E286">
        <v>248</v>
      </c>
      <c r="F286">
        <v>3</v>
      </c>
      <c r="G286" s="3">
        <v>184428.29</v>
      </c>
      <c r="H286" s="3" t="str">
        <f t="shared" si="24"/>
        <v>Medium</v>
      </c>
      <c r="I286" s="14">
        <f t="shared" ca="1" si="29"/>
        <v>249</v>
      </c>
      <c r="J286" s="15" t="str">
        <f t="shared" si="25"/>
        <v>0215</v>
      </c>
      <c r="K286">
        <f t="shared" si="26"/>
        <v>7</v>
      </c>
      <c r="L286" t="str">
        <f t="shared" si="27"/>
        <v>Villa</v>
      </c>
      <c r="M286" s="1" t="str">
        <f t="shared" si="27"/>
        <v>Kismayo</v>
      </c>
      <c r="N286" s="1">
        <f t="shared" si="28"/>
        <v>2025</v>
      </c>
    </row>
    <row r="287" spans="1:14">
      <c r="A287" t="s">
        <v>295</v>
      </c>
      <c r="B287" s="12">
        <v>46125</v>
      </c>
      <c r="C287" t="s">
        <v>10</v>
      </c>
      <c r="D287" t="s">
        <v>39</v>
      </c>
      <c r="E287">
        <v>156</v>
      </c>
      <c r="F287">
        <v>0</v>
      </c>
      <c r="G287" s="3">
        <v>137599.99</v>
      </c>
      <c r="H287" s="3" t="str">
        <f t="shared" si="24"/>
        <v>Medium</v>
      </c>
      <c r="I287" s="14">
        <f t="shared" ca="1" si="29"/>
        <v>134</v>
      </c>
      <c r="J287" s="15" t="str">
        <f t="shared" si="25"/>
        <v>0192</v>
      </c>
      <c r="K287">
        <f t="shared" si="26"/>
        <v>6</v>
      </c>
      <c r="L287" t="str">
        <f t="shared" si="27"/>
        <v>Commercial</v>
      </c>
      <c r="M287" s="1" t="str">
        <f t="shared" si="27"/>
        <v>Garowe</v>
      </c>
      <c r="N287" s="1">
        <f t="shared" si="28"/>
        <v>2026</v>
      </c>
    </row>
    <row r="288" spans="1:14">
      <c r="A288" t="s">
        <v>296</v>
      </c>
      <c r="B288" s="12">
        <v>45876</v>
      </c>
      <c r="C288" t="s">
        <v>5</v>
      </c>
      <c r="D288" t="s">
        <v>38</v>
      </c>
      <c r="E288">
        <v>384</v>
      </c>
      <c r="F288">
        <v>4</v>
      </c>
      <c r="G288" s="3">
        <v>189681.95</v>
      </c>
      <c r="H288" s="3" t="str">
        <f t="shared" si="24"/>
        <v>Medium</v>
      </c>
      <c r="I288" s="14">
        <f t="shared" ca="1" si="29"/>
        <v>383</v>
      </c>
      <c r="J288" s="15" t="str">
        <f t="shared" si="25"/>
        <v>0106</v>
      </c>
      <c r="K288">
        <f t="shared" si="26"/>
        <v>7</v>
      </c>
      <c r="L288" t="str">
        <f t="shared" si="27"/>
        <v>Villa</v>
      </c>
      <c r="M288" s="1" t="str">
        <f t="shared" si="27"/>
        <v>Kismayo</v>
      </c>
      <c r="N288" s="1">
        <f t="shared" si="28"/>
        <v>2025</v>
      </c>
    </row>
    <row r="289" spans="1:14">
      <c r="A289" t="s">
        <v>328</v>
      </c>
      <c r="B289" s="12">
        <v>46217</v>
      </c>
      <c r="C289" t="s">
        <v>10</v>
      </c>
      <c r="D289" t="s">
        <v>4</v>
      </c>
      <c r="E289">
        <v>311</v>
      </c>
      <c r="F289">
        <v>0</v>
      </c>
      <c r="G289" s="3">
        <v>146134.06</v>
      </c>
      <c r="H289" s="3" t="str">
        <f t="shared" si="24"/>
        <v>Medium</v>
      </c>
      <c r="I289" s="14">
        <f t="shared" ca="1" si="29"/>
        <v>42</v>
      </c>
      <c r="J289" s="15" t="str">
        <f t="shared" si="25"/>
        <v>wn15</v>
      </c>
      <c r="K289">
        <f t="shared" si="26"/>
        <v>6</v>
      </c>
      <c r="L289" t="str">
        <f t="shared" si="27"/>
        <v>Commercial</v>
      </c>
      <c r="M289" s="1" t="str">
        <f t="shared" si="27"/>
        <v>Baidoa</v>
      </c>
      <c r="N289" s="1">
        <f t="shared" si="28"/>
        <v>2026</v>
      </c>
    </row>
    <row r="290" spans="1:14">
      <c r="A290" t="s">
        <v>297</v>
      </c>
      <c r="B290" s="12">
        <v>45791</v>
      </c>
      <c r="C290" t="s">
        <v>8</v>
      </c>
      <c r="D290" t="s">
        <v>36</v>
      </c>
      <c r="E290">
        <v>165</v>
      </c>
      <c r="F290">
        <v>1</v>
      </c>
      <c r="G290" s="3">
        <v>93330.46</v>
      </c>
      <c r="H290" s="3" t="str">
        <f t="shared" si="24"/>
        <v>Low</v>
      </c>
      <c r="I290" s="14">
        <f t="shared" ca="1" si="29"/>
        <v>468</v>
      </c>
      <c r="J290" s="15" t="str">
        <f t="shared" si="25"/>
        <v>0232</v>
      </c>
      <c r="K290">
        <f t="shared" si="26"/>
        <v>6</v>
      </c>
      <c r="L290" t="str">
        <f t="shared" si="27"/>
        <v>House</v>
      </c>
      <c r="M290" s="1" t="str">
        <f t="shared" si="27"/>
        <v>Bosaso</v>
      </c>
      <c r="N290" s="1">
        <f t="shared" si="28"/>
        <v>2025</v>
      </c>
    </row>
    <row r="291" spans="1:14">
      <c r="A291" t="s">
        <v>298</v>
      </c>
      <c r="B291" s="12" t="s">
        <v>313</v>
      </c>
      <c r="C291" t="s">
        <v>23</v>
      </c>
      <c r="D291" t="s">
        <v>36</v>
      </c>
      <c r="E291">
        <v>504</v>
      </c>
      <c r="F291">
        <v>0</v>
      </c>
      <c r="G291" s="3">
        <v>229164.89</v>
      </c>
      <c r="H291" s="3" t="str">
        <f t="shared" si="24"/>
        <v>High</v>
      </c>
      <c r="I291" s="14" t="str">
        <f t="shared" ca="1" si="29"/>
        <v>Unknown</v>
      </c>
      <c r="J291" s="15" t="str">
        <f t="shared" si="25"/>
        <v>0226</v>
      </c>
      <c r="K291">
        <f t="shared" si="26"/>
        <v>6</v>
      </c>
      <c r="L291" t="str">
        <f t="shared" si="27"/>
        <v>Land</v>
      </c>
      <c r="M291" s="1" t="str">
        <f t="shared" si="27"/>
        <v>Bosaso</v>
      </c>
      <c r="N291" s="1" t="str">
        <f t="shared" si="28"/>
        <v>Unknown</v>
      </c>
    </row>
    <row r="292" spans="1:14">
      <c r="A292" t="s">
        <v>299</v>
      </c>
      <c r="B292" s="12">
        <v>45795</v>
      </c>
      <c r="C292" t="s">
        <v>23</v>
      </c>
      <c r="D292" t="s">
        <v>2</v>
      </c>
      <c r="E292">
        <v>333</v>
      </c>
      <c r="F292">
        <v>0</v>
      </c>
      <c r="G292" s="3">
        <v>163312.82</v>
      </c>
      <c r="H292" s="3" t="str">
        <f t="shared" si="24"/>
        <v>Medium</v>
      </c>
      <c r="I292" s="14">
        <f t="shared" ca="1" si="29"/>
        <v>464</v>
      </c>
      <c r="J292" s="15" t="str">
        <f t="shared" si="25"/>
        <v>0100</v>
      </c>
      <c r="K292">
        <f t="shared" si="26"/>
        <v>8</v>
      </c>
      <c r="L292" t="str">
        <f t="shared" si="27"/>
        <v>Land</v>
      </c>
      <c r="M292" s="1" t="str">
        <f t="shared" si="27"/>
        <v>Hargeisa</v>
      </c>
      <c r="N292" s="1">
        <f t="shared" si="28"/>
        <v>2025</v>
      </c>
    </row>
    <row r="293" spans="1:14">
      <c r="A293" t="s">
        <v>300</v>
      </c>
      <c r="B293" s="12">
        <v>45947</v>
      </c>
      <c r="C293" t="s">
        <v>1</v>
      </c>
      <c r="D293" t="s">
        <v>2</v>
      </c>
      <c r="E293">
        <v>53</v>
      </c>
      <c r="F293">
        <v>5</v>
      </c>
      <c r="G293" s="3">
        <v>178260.23</v>
      </c>
      <c r="H293" s="3" t="str">
        <f t="shared" si="24"/>
        <v>Medium</v>
      </c>
      <c r="I293" s="14">
        <f t="shared" ca="1" si="29"/>
        <v>312</v>
      </c>
      <c r="J293" s="15" t="str">
        <f t="shared" si="25"/>
        <v>0144</v>
      </c>
      <c r="K293">
        <f t="shared" si="26"/>
        <v>8</v>
      </c>
      <c r="L293" t="str">
        <f t="shared" si="27"/>
        <v>Apartment</v>
      </c>
      <c r="M293" s="1" t="str">
        <f t="shared" si="27"/>
        <v>Hargeisa</v>
      </c>
      <c r="N293" s="1">
        <f t="shared" si="28"/>
        <v>2025</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EBFD-8E40-433C-8FD1-C025B0B86386}">
  <dimension ref="B1:I29"/>
  <sheetViews>
    <sheetView workbookViewId="0">
      <selection activeCell="E22" sqref="E22"/>
    </sheetView>
  </sheetViews>
  <sheetFormatPr defaultColWidth="9" defaultRowHeight="14.5"/>
  <cols>
    <col min="1" max="1" width="14.36328125" customWidth="1"/>
    <col min="2" max="2" width="23.90625" customWidth="1"/>
    <col min="3" max="3" width="20.81640625" customWidth="1"/>
    <col min="4" max="4" width="12.36328125" customWidth="1"/>
    <col min="5" max="5" width="22" customWidth="1"/>
    <col min="6" max="6" width="13.90625" customWidth="1"/>
    <col min="7" max="7" width="14.7265625" customWidth="1"/>
    <col min="8" max="8" width="25.7265625" customWidth="1"/>
    <col min="9" max="9" width="13.6328125" customWidth="1"/>
  </cols>
  <sheetData>
    <row r="1" spans="2:9" ht="23.5">
      <c r="B1" s="16"/>
      <c r="C1" s="17"/>
      <c r="D1" s="17"/>
      <c r="E1" s="18" t="s">
        <v>329</v>
      </c>
      <c r="F1" s="17"/>
      <c r="G1" s="17"/>
      <c r="H1" s="16"/>
      <c r="I1" s="16"/>
    </row>
    <row r="3" spans="2:9" ht="21">
      <c r="B3" s="19" t="s">
        <v>330</v>
      </c>
      <c r="C3" s="20"/>
      <c r="E3" s="19" t="s">
        <v>331</v>
      </c>
      <c r="H3" s="19" t="s">
        <v>332</v>
      </c>
    </row>
    <row r="4" spans="2:9" ht="15.5">
      <c r="B4" s="21" t="s">
        <v>333</v>
      </c>
      <c r="C4" s="22" t="s">
        <v>334</v>
      </c>
      <c r="D4" s="23"/>
      <c r="E4" s="21" t="s">
        <v>333</v>
      </c>
      <c r="F4" s="22" t="s">
        <v>334</v>
      </c>
      <c r="G4" s="22"/>
      <c r="H4" s="21" t="s">
        <v>335</v>
      </c>
      <c r="I4" s="24" t="s">
        <v>336</v>
      </c>
    </row>
    <row r="5" spans="2:9">
      <c r="B5" s="25" t="s">
        <v>337</v>
      </c>
      <c r="C5">
        <v>300</v>
      </c>
      <c r="E5" s="25" t="s">
        <v>337</v>
      </c>
      <c r="F5">
        <f>COUNTA(Clean_Data!A2:A301)</f>
        <v>292</v>
      </c>
      <c r="H5" s="25" t="s">
        <v>338</v>
      </c>
      <c r="I5" t="s">
        <v>339</v>
      </c>
    </row>
    <row r="6" spans="2:9">
      <c r="B6" s="25" t="s">
        <v>340</v>
      </c>
      <c r="C6">
        <v>8</v>
      </c>
      <c r="E6" s="25" t="s">
        <v>340</v>
      </c>
      <c r="F6">
        <v>0</v>
      </c>
      <c r="H6" s="25" t="s">
        <v>341</v>
      </c>
      <c r="I6" t="s">
        <v>339</v>
      </c>
    </row>
    <row r="7" spans="2:9">
      <c r="B7" s="25" t="s">
        <v>342</v>
      </c>
      <c r="C7">
        <v>0</v>
      </c>
      <c r="E7" s="25" t="s">
        <v>342</v>
      </c>
      <c r="F7">
        <v>0</v>
      </c>
      <c r="H7" s="25" t="s">
        <v>343</v>
      </c>
      <c r="I7" t="s">
        <v>339</v>
      </c>
    </row>
    <row r="8" spans="2:9">
      <c r="B8" s="25" t="s">
        <v>344</v>
      </c>
      <c r="C8">
        <v>111</v>
      </c>
      <c r="E8" s="25" t="s">
        <v>344</v>
      </c>
      <c r="F8">
        <v>0</v>
      </c>
      <c r="H8" s="25" t="s">
        <v>345</v>
      </c>
      <c r="I8" t="s">
        <v>339</v>
      </c>
    </row>
    <row r="10" spans="2:9" s="27" customFormat="1" ht="21">
      <c r="B10" s="16"/>
      <c r="C10" s="26" t="s">
        <v>346</v>
      </c>
      <c r="F10" s="16"/>
      <c r="G10" s="37" t="s">
        <v>364</v>
      </c>
    </row>
    <row r="11" spans="2:9" ht="21">
      <c r="B11" s="28"/>
      <c r="C11" s="29"/>
      <c r="E11" s="27"/>
      <c r="F11" s="27"/>
    </row>
    <row r="12" spans="2:9">
      <c r="B12" s="21" t="s">
        <v>347</v>
      </c>
      <c r="C12" s="24" t="s">
        <v>348</v>
      </c>
      <c r="E12" s="30"/>
      <c r="F12" t="s">
        <v>347</v>
      </c>
      <c r="G12" t="s">
        <v>348</v>
      </c>
    </row>
    <row r="13" spans="2:9">
      <c r="B13" s="25" t="s">
        <v>349</v>
      </c>
      <c r="C13">
        <f>COUNTA(Clean_Data!A2:A1000)</f>
        <v>292</v>
      </c>
      <c r="E13" s="31"/>
      <c r="F13" s="48" t="s">
        <v>301</v>
      </c>
      <c r="G13">
        <f>COUNTBLANK(Raw_Data!A2:A301)</f>
        <v>15</v>
      </c>
    </row>
    <row r="14" spans="2:9">
      <c r="B14" s="25" t="s">
        <v>350</v>
      </c>
      <c r="C14" s="3">
        <f>SUM(PropertyTable[Price])</f>
        <v>52230254.079999968</v>
      </c>
      <c r="E14" s="31"/>
      <c r="F14" s="48" t="s">
        <v>302</v>
      </c>
      <c r="G14">
        <f>COUNTBLANK(Raw_Data!B2:B301)</f>
        <v>15</v>
      </c>
    </row>
    <row r="15" spans="2:9">
      <c r="B15" s="25" t="s">
        <v>351</v>
      </c>
      <c r="C15" s="3">
        <f>AVERAGE(Clean_Data!G2:G293)</f>
        <v>178870.73315068483</v>
      </c>
      <c r="E15" s="31"/>
      <c r="F15" s="87" t="s">
        <v>303</v>
      </c>
      <c r="G15">
        <f>COUNTBLANK(Raw_Data!C2:C301)</f>
        <v>17</v>
      </c>
    </row>
    <row r="16" spans="2:9">
      <c r="B16" s="25" t="s">
        <v>352</v>
      </c>
      <c r="C16" s="3">
        <f>MIN(Clean_Data!G2:G293)</f>
        <v>17505.310000000001</v>
      </c>
      <c r="E16" s="31"/>
      <c r="F16" s="87" t="s">
        <v>304</v>
      </c>
      <c r="G16">
        <f>COUNTBLANK(Raw_Data!D2:D301)</f>
        <v>18</v>
      </c>
    </row>
    <row r="17" spans="2:7">
      <c r="B17" s="25" t="s">
        <v>353</v>
      </c>
      <c r="C17" s="3">
        <f>MAX(Clean_Data!G2:G293)</f>
        <v>2000022</v>
      </c>
      <c r="E17" s="31"/>
      <c r="F17" s="87" t="s">
        <v>305</v>
      </c>
      <c r="G17">
        <f>COUNTBLANK(Raw_Data!E2:E301)</f>
        <v>15</v>
      </c>
    </row>
    <row r="18" spans="2:7">
      <c r="B18" s="25" t="s">
        <v>354</v>
      </c>
      <c r="C18" s="15">
        <f>AVERAGE(Clean_Data!E2:E293)</f>
        <v>294.52739726027397</v>
      </c>
      <c r="E18" s="31"/>
      <c r="F18" s="87" t="s">
        <v>306</v>
      </c>
      <c r="G18">
        <f>COUNTBLANK(Raw_Data!F2:F301)</f>
        <v>16</v>
      </c>
    </row>
    <row r="19" spans="2:7">
      <c r="B19" s="25" t="s">
        <v>355</v>
      </c>
      <c r="C19" s="32">
        <f>AVERAGE(Clean_Data!F2:F293)</f>
        <v>2.6267123287671232</v>
      </c>
      <c r="F19" s="87" t="s">
        <v>307</v>
      </c>
      <c r="G19">
        <f>COUNTBLANK(Raw_Data!G2:G301)</f>
        <v>15</v>
      </c>
    </row>
    <row r="20" spans="2:7">
      <c r="B20" s="25" t="s">
        <v>356</v>
      </c>
      <c r="C20" s="3">
        <f>MAX(Clean_Data!G2:G293)-MIN(Clean_Data!G2:G293)</f>
        <v>1982516.69</v>
      </c>
      <c r="F20" s="87" t="s">
        <v>363</v>
      </c>
      <c r="G20">
        <f>SUM(G13:G19)</f>
        <v>111</v>
      </c>
    </row>
    <row r="21" spans="2:7">
      <c r="B21" s="38" t="s">
        <v>357</v>
      </c>
      <c r="C21" s="42">
        <f>COUNTIFS(PropertyTable[Listing_Date],"&gt;="&amp;DATE(2025,1,1),PropertyTable[Listing_Date],"&lt;"&amp;DATE(2026,1,1))</f>
        <v>169</v>
      </c>
    </row>
    <row r="22" spans="2:7" ht="16.5" customHeight="1">
      <c r="B22" s="39" t="s">
        <v>358</v>
      </c>
      <c r="C22" s="34">
        <f>COUNTIFS(PropertyTable[Listing_Date],"&gt;="&amp;DATE(2026,1,1),PropertyTable[Listing_Date],"&lt;"&amp;DATE(2027,1,1))</f>
        <v>107</v>
      </c>
    </row>
    <row r="23" spans="2:7">
      <c r="B23" s="38" t="s">
        <v>359</v>
      </c>
      <c r="C23" s="41" t="str">
        <f>INDEX(Clean_Data!C2:C293,MODE(MATCH(Clean_Data!C2:C293,Clean_Data!C2:C293,0)))</f>
        <v>Apartment</v>
      </c>
    </row>
    <row r="24" spans="2:7">
      <c r="B24" s="39" t="s">
        <v>360</v>
      </c>
      <c r="C24" s="33" t="str">
        <f>INDEX(Clean_Data!D2:D293,MODE(MATCH(Clean_Data!D2:D293,Clean_Data!D2:D293,0)))</f>
        <v>Mogadishu</v>
      </c>
      <c r="D24" s="35"/>
    </row>
    <row r="25" spans="2:7">
      <c r="B25" s="40" t="s">
        <v>362</v>
      </c>
      <c r="C25" s="43">
        <f>COUNTIF(PropertyTable[Price_Category],"High")</f>
        <v>85</v>
      </c>
      <c r="D25" s="35"/>
    </row>
    <row r="26" spans="2:7">
      <c r="B26" s="36"/>
      <c r="C26" s="36"/>
      <c r="D26" s="35"/>
    </row>
    <row r="27" spans="2:7">
      <c r="B27" s="36"/>
      <c r="C27" s="36"/>
      <c r="D27" s="35"/>
    </row>
    <row r="28" spans="2:7">
      <c r="B28" s="36"/>
      <c r="C28" s="36"/>
      <c r="D28" s="35"/>
    </row>
    <row r="29" spans="2:7">
      <c r="B29" s="36"/>
      <c r="C29" s="36"/>
      <c r="D29" s="35"/>
    </row>
  </sheetData>
  <pageMargins left="0.7" right="0.7" top="0.75" bottom="0.75" header="0.3" footer="0.3"/>
  <pageSetup orientation="portrait" horizontalDpi="0" verticalDpi="0"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5290-DB9F-4A24-B6CC-586837817944}">
  <dimension ref="A1:R381"/>
  <sheetViews>
    <sheetView topLeftCell="A55" zoomScale="74" zoomScaleNormal="74" workbookViewId="0">
      <selection activeCell="H52" sqref="H52"/>
    </sheetView>
  </sheetViews>
  <sheetFormatPr defaultRowHeight="14.5"/>
  <cols>
    <col min="1" max="1" width="13" bestFit="1" customWidth="1"/>
    <col min="2" max="2" width="11.08984375" bestFit="1" customWidth="1"/>
    <col min="3" max="222" width="16.08984375" bestFit="1" customWidth="1"/>
    <col min="223" max="223" width="10.81640625" bestFit="1" customWidth="1"/>
  </cols>
  <sheetData>
    <row r="1" spans="1:2" ht="18.5">
      <c r="A1" s="46" t="s">
        <v>368</v>
      </c>
      <c r="B1" s="16"/>
    </row>
    <row r="3" spans="1:2">
      <c r="A3" s="45" t="s">
        <v>365</v>
      </c>
      <c r="B3" t="s">
        <v>366</v>
      </c>
    </row>
    <row r="4" spans="1:2">
      <c r="A4" s="44" t="s">
        <v>2</v>
      </c>
      <c r="B4" s="1">
        <v>4</v>
      </c>
    </row>
    <row r="5" spans="1:2">
      <c r="A5" s="44" t="s">
        <v>6</v>
      </c>
      <c r="B5" s="1">
        <v>8</v>
      </c>
    </row>
    <row r="6" spans="1:2">
      <c r="A6" s="44" t="s">
        <v>367</v>
      </c>
      <c r="B6" s="1">
        <v>12</v>
      </c>
    </row>
    <row r="13" spans="1:2">
      <c r="A13" s="48" t="s">
        <v>370</v>
      </c>
      <c r="B13" s="23"/>
    </row>
    <row r="14" spans="1:2">
      <c r="A14" s="45" t="s">
        <v>365</v>
      </c>
      <c r="B14" t="s">
        <v>369</v>
      </c>
    </row>
    <row r="15" spans="1:2">
      <c r="A15" s="44" t="s">
        <v>313</v>
      </c>
      <c r="B15" s="1">
        <v>2496165.92</v>
      </c>
    </row>
    <row r="16" spans="1:2">
      <c r="A16" s="44" t="s">
        <v>367</v>
      </c>
      <c r="B16" s="1">
        <v>2496165.92</v>
      </c>
    </row>
    <row r="24" spans="1:6" ht="15.5">
      <c r="A24" s="47" t="s">
        <v>371</v>
      </c>
    </row>
    <row r="26" spans="1:6">
      <c r="A26" s="45" t="s">
        <v>365</v>
      </c>
      <c r="B26" t="s">
        <v>372</v>
      </c>
    </row>
    <row r="27" spans="1:6">
      <c r="A27" s="44" t="s">
        <v>2</v>
      </c>
      <c r="B27" s="51">
        <v>165454.05249999999</v>
      </c>
    </row>
    <row r="28" spans="1:6">
      <c r="A28" s="44" t="s">
        <v>6</v>
      </c>
      <c r="B28" s="51">
        <v>229293.71374999997</v>
      </c>
      <c r="F28" s="49"/>
    </row>
    <row r="29" spans="1:6">
      <c r="A29" s="44" t="s">
        <v>367</v>
      </c>
      <c r="B29" s="51">
        <v>208013.82666666666</v>
      </c>
    </row>
    <row r="37" spans="1:2" ht="15.5">
      <c r="A37" s="47" t="s">
        <v>373</v>
      </c>
    </row>
    <row r="39" spans="1:2">
      <c r="A39" s="45" t="s">
        <v>365</v>
      </c>
      <c r="B39" t="s">
        <v>366</v>
      </c>
    </row>
    <row r="40" spans="1:2">
      <c r="A40" s="44" t="s">
        <v>313</v>
      </c>
      <c r="B40" s="1">
        <v>12</v>
      </c>
    </row>
    <row r="41" spans="1:2">
      <c r="A41" s="44" t="s">
        <v>367</v>
      </c>
      <c r="B41" s="1">
        <v>12</v>
      </c>
    </row>
    <row r="49" spans="1:2">
      <c r="A49" t="s">
        <v>375</v>
      </c>
    </row>
    <row r="50" spans="1:2">
      <c r="A50" s="45" t="s">
        <v>365</v>
      </c>
      <c r="B50" t="s">
        <v>374</v>
      </c>
    </row>
    <row r="51" spans="1:2">
      <c r="A51" s="44" t="s">
        <v>2</v>
      </c>
      <c r="B51" s="1">
        <v>1481</v>
      </c>
    </row>
    <row r="52" spans="1:2">
      <c r="A52" s="44" t="s">
        <v>6</v>
      </c>
      <c r="B52" s="1">
        <v>2384</v>
      </c>
    </row>
    <row r="53" spans="1:2">
      <c r="A53" s="44" t="s">
        <v>367</v>
      </c>
      <c r="B53" s="1">
        <v>3865</v>
      </c>
    </row>
    <row r="63" spans="1:2">
      <c r="A63" s="45" t="s">
        <v>365</v>
      </c>
      <c r="B63" t="s">
        <v>376</v>
      </c>
    </row>
    <row r="64" spans="1:2">
      <c r="A64" s="44" t="s">
        <v>2</v>
      </c>
      <c r="B64" s="1">
        <v>11</v>
      </c>
    </row>
    <row r="65" spans="1:2">
      <c r="A65" s="44" t="s">
        <v>6</v>
      </c>
      <c r="B65" s="1">
        <v>20</v>
      </c>
    </row>
    <row r="66" spans="1:2">
      <c r="A66" s="44" t="s">
        <v>367</v>
      </c>
      <c r="B66" s="1">
        <v>31</v>
      </c>
    </row>
    <row r="81" spans="1:18">
      <c r="A81" s="45" t="s">
        <v>365</v>
      </c>
      <c r="B81" t="s">
        <v>377</v>
      </c>
    </row>
    <row r="82" spans="1:18">
      <c r="A82" s="44" t="s">
        <v>2</v>
      </c>
      <c r="B82" s="50">
        <v>370.25</v>
      </c>
    </row>
    <row r="83" spans="1:18">
      <c r="A83" s="44" t="s">
        <v>6</v>
      </c>
      <c r="B83" s="50">
        <v>298</v>
      </c>
    </row>
    <row r="84" spans="1:18">
      <c r="A84" s="44" t="s">
        <v>367</v>
      </c>
      <c r="B84" s="50">
        <v>322.08333333333331</v>
      </c>
    </row>
    <row r="85" spans="1:18">
      <c r="R85" t="s">
        <v>379</v>
      </c>
    </row>
    <row r="95" spans="1:18">
      <c r="A95" s="45" t="s">
        <v>365</v>
      </c>
      <c r="B95" t="s">
        <v>378</v>
      </c>
    </row>
    <row r="96" spans="1:18">
      <c r="A96" s="44" t="s">
        <v>2</v>
      </c>
      <c r="B96" s="51">
        <v>380318.1</v>
      </c>
    </row>
    <row r="97" spans="1:2">
      <c r="A97" s="44" t="s">
        <v>6</v>
      </c>
      <c r="B97" s="51">
        <v>620677.11</v>
      </c>
    </row>
    <row r="98" spans="1:2">
      <c r="A98" s="44" t="s">
        <v>367</v>
      </c>
      <c r="B98" s="51">
        <v>620677.11</v>
      </c>
    </row>
    <row r="158" spans="1:1">
      <c r="A158" s="45" t="s">
        <v>365</v>
      </c>
    </row>
    <row r="159" spans="1:1">
      <c r="A159" s="44" t="s">
        <v>313</v>
      </c>
    </row>
    <row r="160" spans="1:1">
      <c r="A160" s="53">
        <v>45662</v>
      </c>
    </row>
    <row r="161" spans="1:1">
      <c r="A161" s="53">
        <v>45663</v>
      </c>
    </row>
    <row r="162" spans="1:1">
      <c r="A162" s="53">
        <v>45665</v>
      </c>
    </row>
    <row r="163" spans="1:1">
      <c r="A163" s="53">
        <v>45666</v>
      </c>
    </row>
    <row r="164" spans="1:1">
      <c r="A164" s="53">
        <v>45670</v>
      </c>
    </row>
    <row r="165" spans="1:1">
      <c r="A165" s="53">
        <v>45671</v>
      </c>
    </row>
    <row r="166" spans="1:1">
      <c r="A166" s="53">
        <v>45673</v>
      </c>
    </row>
    <row r="167" spans="1:1">
      <c r="A167" s="53">
        <v>45674</v>
      </c>
    </row>
    <row r="168" spans="1:1">
      <c r="A168" s="53">
        <v>45680</v>
      </c>
    </row>
    <row r="169" spans="1:1">
      <c r="A169" s="53">
        <v>45682</v>
      </c>
    </row>
    <row r="170" spans="1:1">
      <c r="A170" s="53">
        <v>45683</v>
      </c>
    </row>
    <row r="171" spans="1:1">
      <c r="A171" s="53">
        <v>45684</v>
      </c>
    </row>
    <row r="172" spans="1:1">
      <c r="A172" s="53">
        <v>45688</v>
      </c>
    </row>
    <row r="173" spans="1:1">
      <c r="A173" s="53">
        <v>45690</v>
      </c>
    </row>
    <row r="174" spans="1:1">
      <c r="A174" s="53">
        <v>45691</v>
      </c>
    </row>
    <row r="175" spans="1:1">
      <c r="A175" s="53">
        <v>45692</v>
      </c>
    </row>
    <row r="176" spans="1:1">
      <c r="A176" s="53">
        <v>45699</v>
      </c>
    </row>
    <row r="177" spans="1:1">
      <c r="A177" s="53">
        <v>45701</v>
      </c>
    </row>
    <row r="178" spans="1:1">
      <c r="A178" s="53">
        <v>45704</v>
      </c>
    </row>
    <row r="179" spans="1:1">
      <c r="A179" s="53">
        <v>45705</v>
      </c>
    </row>
    <row r="180" spans="1:1">
      <c r="A180" s="53">
        <v>45706</v>
      </c>
    </row>
    <row r="181" spans="1:1">
      <c r="A181" s="53">
        <v>45707</v>
      </c>
    </row>
    <row r="182" spans="1:1">
      <c r="A182" s="53">
        <v>45708</v>
      </c>
    </row>
    <row r="183" spans="1:1">
      <c r="A183" s="53">
        <v>45709</v>
      </c>
    </row>
    <row r="184" spans="1:1">
      <c r="A184" s="53">
        <v>45710</v>
      </c>
    </row>
    <row r="185" spans="1:1">
      <c r="A185" s="53">
        <v>45711</v>
      </c>
    </row>
    <row r="186" spans="1:1">
      <c r="A186" s="53">
        <v>45712</v>
      </c>
    </row>
    <row r="187" spans="1:1">
      <c r="A187" s="53">
        <v>45714</v>
      </c>
    </row>
    <row r="188" spans="1:1">
      <c r="A188" s="53">
        <v>45719</v>
      </c>
    </row>
    <row r="189" spans="1:1">
      <c r="A189" s="53">
        <v>45720</v>
      </c>
    </row>
    <row r="190" spans="1:1">
      <c r="A190" s="53">
        <v>45721</v>
      </c>
    </row>
    <row r="191" spans="1:1">
      <c r="A191" s="53">
        <v>45722</v>
      </c>
    </row>
    <row r="192" spans="1:1">
      <c r="A192" s="53">
        <v>45723</v>
      </c>
    </row>
    <row r="193" spans="1:1">
      <c r="A193" s="53">
        <v>45725</v>
      </c>
    </row>
    <row r="194" spans="1:1">
      <c r="A194" s="53">
        <v>45726</v>
      </c>
    </row>
    <row r="195" spans="1:1">
      <c r="A195" s="53">
        <v>45727</v>
      </c>
    </row>
    <row r="196" spans="1:1">
      <c r="A196" s="53">
        <v>45732</v>
      </c>
    </row>
    <row r="197" spans="1:1">
      <c r="A197" s="53">
        <v>45738</v>
      </c>
    </row>
    <row r="198" spans="1:1">
      <c r="A198" s="53">
        <v>45740</v>
      </c>
    </row>
    <row r="199" spans="1:1">
      <c r="A199" s="53">
        <v>45742</v>
      </c>
    </row>
    <row r="200" spans="1:1">
      <c r="A200" s="53">
        <v>45743</v>
      </c>
    </row>
    <row r="201" spans="1:1">
      <c r="A201" s="53">
        <v>45746</v>
      </c>
    </row>
    <row r="202" spans="1:1">
      <c r="A202" s="53">
        <v>45751</v>
      </c>
    </row>
    <row r="203" spans="1:1">
      <c r="A203" s="53">
        <v>45756</v>
      </c>
    </row>
    <row r="204" spans="1:1">
      <c r="A204" s="53">
        <v>45758</v>
      </c>
    </row>
    <row r="205" spans="1:1">
      <c r="A205" s="53">
        <v>45763</v>
      </c>
    </row>
    <row r="206" spans="1:1">
      <c r="A206" s="53">
        <v>45771</v>
      </c>
    </row>
    <row r="207" spans="1:1">
      <c r="A207" s="53">
        <v>45772</v>
      </c>
    </row>
    <row r="208" spans="1:1">
      <c r="A208" s="53">
        <v>45773</v>
      </c>
    </row>
    <row r="209" spans="1:1">
      <c r="A209" s="53">
        <v>45779</v>
      </c>
    </row>
    <row r="210" spans="1:1">
      <c r="A210" s="53">
        <v>45784</v>
      </c>
    </row>
    <row r="211" spans="1:1">
      <c r="A211" s="53">
        <v>45785</v>
      </c>
    </row>
    <row r="212" spans="1:1">
      <c r="A212" s="53">
        <v>45791</v>
      </c>
    </row>
    <row r="213" spans="1:1">
      <c r="A213" s="53">
        <v>45795</v>
      </c>
    </row>
    <row r="214" spans="1:1">
      <c r="A214" s="53">
        <v>45797</v>
      </c>
    </row>
    <row r="215" spans="1:1">
      <c r="A215" s="53">
        <v>45798</v>
      </c>
    </row>
    <row r="216" spans="1:1">
      <c r="A216" s="53">
        <v>45803</v>
      </c>
    </row>
    <row r="217" spans="1:1">
      <c r="A217" s="53">
        <v>45813</v>
      </c>
    </row>
    <row r="218" spans="1:1">
      <c r="A218" s="53">
        <v>45820</v>
      </c>
    </row>
    <row r="219" spans="1:1">
      <c r="A219" s="53">
        <v>45821</v>
      </c>
    </row>
    <row r="220" spans="1:1">
      <c r="A220" s="53">
        <v>45822</v>
      </c>
    </row>
    <row r="221" spans="1:1">
      <c r="A221" s="53">
        <v>45825</v>
      </c>
    </row>
    <row r="222" spans="1:1">
      <c r="A222" s="53">
        <v>45827</v>
      </c>
    </row>
    <row r="223" spans="1:1">
      <c r="A223" s="53">
        <v>45832</v>
      </c>
    </row>
    <row r="224" spans="1:1">
      <c r="A224" s="53">
        <v>45835</v>
      </c>
    </row>
    <row r="225" spans="1:1">
      <c r="A225" s="53">
        <v>45837</v>
      </c>
    </row>
    <row r="226" spans="1:1">
      <c r="A226" s="53">
        <v>45841</v>
      </c>
    </row>
    <row r="227" spans="1:1">
      <c r="A227" s="53">
        <v>45842</v>
      </c>
    </row>
    <row r="228" spans="1:1">
      <c r="A228" s="53">
        <v>45844</v>
      </c>
    </row>
    <row r="229" spans="1:1">
      <c r="A229" s="53">
        <v>45845</v>
      </c>
    </row>
    <row r="230" spans="1:1">
      <c r="A230" s="53">
        <v>45851</v>
      </c>
    </row>
    <row r="231" spans="1:1">
      <c r="A231" s="53">
        <v>45854</v>
      </c>
    </row>
    <row r="232" spans="1:1">
      <c r="A232" s="53">
        <v>45855</v>
      </c>
    </row>
    <row r="233" spans="1:1">
      <c r="A233" s="53">
        <v>45856</v>
      </c>
    </row>
    <row r="234" spans="1:1">
      <c r="A234" s="53">
        <v>45858</v>
      </c>
    </row>
    <row r="235" spans="1:1">
      <c r="A235" s="53">
        <v>45862</v>
      </c>
    </row>
    <row r="236" spans="1:1">
      <c r="A236" s="53">
        <v>45864</v>
      </c>
    </row>
    <row r="237" spans="1:1">
      <c r="A237" s="53">
        <v>45865</v>
      </c>
    </row>
    <row r="238" spans="1:1">
      <c r="A238" s="53">
        <v>45868</v>
      </c>
    </row>
    <row r="239" spans="1:1">
      <c r="A239" s="53">
        <v>45872</v>
      </c>
    </row>
    <row r="240" spans="1:1">
      <c r="A240" s="53">
        <v>45874</v>
      </c>
    </row>
    <row r="241" spans="1:1">
      <c r="A241" s="53">
        <v>45875</v>
      </c>
    </row>
    <row r="242" spans="1:1">
      <c r="A242" s="53">
        <v>45876</v>
      </c>
    </row>
    <row r="243" spans="1:1">
      <c r="A243" s="53">
        <v>45877</v>
      </c>
    </row>
    <row r="244" spans="1:1">
      <c r="A244" s="53">
        <v>45878</v>
      </c>
    </row>
    <row r="245" spans="1:1">
      <c r="A245" s="53">
        <v>45881</v>
      </c>
    </row>
    <row r="246" spans="1:1">
      <c r="A246" s="53">
        <v>45883</v>
      </c>
    </row>
    <row r="247" spans="1:1">
      <c r="A247" s="53">
        <v>45886</v>
      </c>
    </row>
    <row r="248" spans="1:1">
      <c r="A248" s="53">
        <v>45888</v>
      </c>
    </row>
    <row r="249" spans="1:1">
      <c r="A249" s="53">
        <v>45890</v>
      </c>
    </row>
    <row r="250" spans="1:1">
      <c r="A250" s="53">
        <v>45891</v>
      </c>
    </row>
    <row r="251" spans="1:1">
      <c r="A251" s="53">
        <v>45893</v>
      </c>
    </row>
    <row r="252" spans="1:1">
      <c r="A252" s="53">
        <v>45894</v>
      </c>
    </row>
    <row r="253" spans="1:1">
      <c r="A253" s="53">
        <v>45897</v>
      </c>
    </row>
    <row r="254" spans="1:1">
      <c r="A254" s="53">
        <v>45899</v>
      </c>
    </row>
    <row r="255" spans="1:1">
      <c r="A255" s="53">
        <v>45900</v>
      </c>
    </row>
    <row r="256" spans="1:1">
      <c r="A256" s="53">
        <v>45901</v>
      </c>
    </row>
    <row r="257" spans="1:1">
      <c r="A257" s="53">
        <v>45904</v>
      </c>
    </row>
    <row r="258" spans="1:1">
      <c r="A258" s="53">
        <v>45905</v>
      </c>
    </row>
    <row r="259" spans="1:1">
      <c r="A259" s="53">
        <v>45907</v>
      </c>
    </row>
    <row r="260" spans="1:1">
      <c r="A260" s="53">
        <v>45910</v>
      </c>
    </row>
    <row r="261" spans="1:1">
      <c r="A261" s="53">
        <v>45913</v>
      </c>
    </row>
    <row r="262" spans="1:1">
      <c r="A262" s="53">
        <v>45929</v>
      </c>
    </row>
    <row r="263" spans="1:1">
      <c r="A263" s="53">
        <v>45931</v>
      </c>
    </row>
    <row r="264" spans="1:1">
      <c r="A264" s="53">
        <v>45934</v>
      </c>
    </row>
    <row r="265" spans="1:1">
      <c r="A265" s="53">
        <v>45937</v>
      </c>
    </row>
    <row r="266" spans="1:1">
      <c r="A266" s="53">
        <v>45945</v>
      </c>
    </row>
    <row r="267" spans="1:1">
      <c r="A267" s="53">
        <v>45946</v>
      </c>
    </row>
    <row r="268" spans="1:1">
      <c r="A268" s="53">
        <v>45947</v>
      </c>
    </row>
    <row r="269" spans="1:1">
      <c r="A269" s="53">
        <v>45951</v>
      </c>
    </row>
    <row r="270" spans="1:1">
      <c r="A270" s="53">
        <v>45955</v>
      </c>
    </row>
    <row r="271" spans="1:1">
      <c r="A271" s="53">
        <v>45957</v>
      </c>
    </row>
    <row r="272" spans="1:1">
      <c r="A272" s="53">
        <v>45958</v>
      </c>
    </row>
    <row r="273" spans="1:1">
      <c r="A273" s="53">
        <v>45964</v>
      </c>
    </row>
    <row r="274" spans="1:1">
      <c r="A274" s="53">
        <v>45971</v>
      </c>
    </row>
    <row r="275" spans="1:1">
      <c r="A275" s="53">
        <v>45974</v>
      </c>
    </row>
    <row r="276" spans="1:1">
      <c r="A276" s="53">
        <v>45976</v>
      </c>
    </row>
    <row r="277" spans="1:1">
      <c r="A277" s="53">
        <v>45977</v>
      </c>
    </row>
    <row r="278" spans="1:1">
      <c r="A278" s="53">
        <v>45979</v>
      </c>
    </row>
    <row r="279" spans="1:1">
      <c r="A279" s="53">
        <v>45982</v>
      </c>
    </row>
    <row r="280" spans="1:1">
      <c r="A280" s="53">
        <v>45983</v>
      </c>
    </row>
    <row r="281" spans="1:1">
      <c r="A281" s="53">
        <v>45986</v>
      </c>
    </row>
    <row r="282" spans="1:1">
      <c r="A282" s="53">
        <v>45987</v>
      </c>
    </row>
    <row r="283" spans="1:1">
      <c r="A283" s="53">
        <v>45990</v>
      </c>
    </row>
    <row r="284" spans="1:1">
      <c r="A284" s="53">
        <v>45994</v>
      </c>
    </row>
    <row r="285" spans="1:1">
      <c r="A285" s="53">
        <v>45999</v>
      </c>
    </row>
    <row r="286" spans="1:1">
      <c r="A286" s="53">
        <v>46002</v>
      </c>
    </row>
    <row r="287" spans="1:1">
      <c r="A287" s="53">
        <v>46006</v>
      </c>
    </row>
    <row r="288" spans="1:1">
      <c r="A288" s="53">
        <v>46009</v>
      </c>
    </row>
    <row r="289" spans="1:1">
      <c r="A289" s="53">
        <v>46010</v>
      </c>
    </row>
    <row r="290" spans="1:1">
      <c r="A290" s="53">
        <v>46012</v>
      </c>
    </row>
    <row r="291" spans="1:1">
      <c r="A291" s="53">
        <v>46017</v>
      </c>
    </row>
    <row r="292" spans="1:1">
      <c r="A292" s="53">
        <v>46022</v>
      </c>
    </row>
    <row r="293" spans="1:1">
      <c r="A293" s="53">
        <v>46023</v>
      </c>
    </row>
    <row r="294" spans="1:1">
      <c r="A294" s="53">
        <v>46026</v>
      </c>
    </row>
    <row r="295" spans="1:1">
      <c r="A295" s="53">
        <v>46028</v>
      </c>
    </row>
    <row r="296" spans="1:1">
      <c r="A296" s="53">
        <v>46033</v>
      </c>
    </row>
    <row r="297" spans="1:1">
      <c r="A297" s="53">
        <v>46034</v>
      </c>
    </row>
    <row r="298" spans="1:1">
      <c r="A298" s="53">
        <v>46036</v>
      </c>
    </row>
    <row r="299" spans="1:1">
      <c r="A299" s="53">
        <v>46037</v>
      </c>
    </row>
    <row r="300" spans="1:1">
      <c r="A300" s="53">
        <v>46038</v>
      </c>
    </row>
    <row r="301" spans="1:1">
      <c r="A301" s="53">
        <v>46039</v>
      </c>
    </row>
    <row r="302" spans="1:1">
      <c r="A302" s="53">
        <v>46043</v>
      </c>
    </row>
    <row r="303" spans="1:1">
      <c r="A303" s="53">
        <v>46045</v>
      </c>
    </row>
    <row r="304" spans="1:1">
      <c r="A304" s="53">
        <v>46048</v>
      </c>
    </row>
    <row r="305" spans="1:1">
      <c r="A305" s="53">
        <v>46050</v>
      </c>
    </row>
    <row r="306" spans="1:1">
      <c r="A306" s="53">
        <v>46052</v>
      </c>
    </row>
    <row r="307" spans="1:1">
      <c r="A307" s="53">
        <v>46054</v>
      </c>
    </row>
    <row r="308" spans="1:1">
      <c r="A308" s="53">
        <v>46055</v>
      </c>
    </row>
    <row r="309" spans="1:1">
      <c r="A309" s="53">
        <v>46056</v>
      </c>
    </row>
    <row r="310" spans="1:1">
      <c r="A310" s="53">
        <v>46058</v>
      </c>
    </row>
    <row r="311" spans="1:1">
      <c r="A311" s="53">
        <v>46059</v>
      </c>
    </row>
    <row r="312" spans="1:1">
      <c r="A312" s="53">
        <v>46064</v>
      </c>
    </row>
    <row r="313" spans="1:1">
      <c r="A313" s="53">
        <v>46066</v>
      </c>
    </row>
    <row r="314" spans="1:1">
      <c r="A314" s="53">
        <v>46067</v>
      </c>
    </row>
    <row r="315" spans="1:1">
      <c r="A315" s="53">
        <v>46070</v>
      </c>
    </row>
    <row r="316" spans="1:1">
      <c r="A316" s="53">
        <v>46074</v>
      </c>
    </row>
    <row r="317" spans="1:1">
      <c r="A317" s="53">
        <v>46078</v>
      </c>
    </row>
    <row r="318" spans="1:1">
      <c r="A318" s="53">
        <v>46079</v>
      </c>
    </row>
    <row r="319" spans="1:1">
      <c r="A319" s="53">
        <v>46082</v>
      </c>
    </row>
    <row r="320" spans="1:1">
      <c r="A320" s="53">
        <v>46085</v>
      </c>
    </row>
    <row r="321" spans="1:1">
      <c r="A321" s="53">
        <v>46089</v>
      </c>
    </row>
    <row r="322" spans="1:1">
      <c r="A322" s="53">
        <v>46103</v>
      </c>
    </row>
    <row r="323" spans="1:1">
      <c r="A323" s="53">
        <v>46106</v>
      </c>
    </row>
    <row r="324" spans="1:1">
      <c r="A324" s="53">
        <v>46107</v>
      </c>
    </row>
    <row r="325" spans="1:1">
      <c r="A325" s="53">
        <v>46108</v>
      </c>
    </row>
    <row r="326" spans="1:1">
      <c r="A326" s="53">
        <v>46110</v>
      </c>
    </row>
    <row r="327" spans="1:1">
      <c r="A327" s="53">
        <v>46113</v>
      </c>
    </row>
    <row r="328" spans="1:1">
      <c r="A328" s="53">
        <v>46114</v>
      </c>
    </row>
    <row r="329" spans="1:1">
      <c r="A329" s="53">
        <v>46116</v>
      </c>
    </row>
    <row r="330" spans="1:1">
      <c r="A330" s="53">
        <v>46118</v>
      </c>
    </row>
    <row r="331" spans="1:1">
      <c r="A331" s="53">
        <v>46119</v>
      </c>
    </row>
    <row r="332" spans="1:1">
      <c r="A332" s="53">
        <v>46120</v>
      </c>
    </row>
    <row r="333" spans="1:1">
      <c r="A333" s="53">
        <v>46125</v>
      </c>
    </row>
    <row r="334" spans="1:1">
      <c r="A334" s="53">
        <v>46126</v>
      </c>
    </row>
    <row r="335" spans="1:1">
      <c r="A335" s="53">
        <v>46127</v>
      </c>
    </row>
    <row r="336" spans="1:1">
      <c r="A336" s="53">
        <v>46128</v>
      </c>
    </row>
    <row r="337" spans="1:1">
      <c r="A337" s="53">
        <v>46130</v>
      </c>
    </row>
    <row r="338" spans="1:1">
      <c r="A338" s="53">
        <v>46132</v>
      </c>
    </row>
    <row r="339" spans="1:1">
      <c r="A339" s="53">
        <v>46136</v>
      </c>
    </row>
    <row r="340" spans="1:1">
      <c r="A340" s="53">
        <v>46137</v>
      </c>
    </row>
    <row r="341" spans="1:1">
      <c r="A341" s="53">
        <v>46138</v>
      </c>
    </row>
    <row r="342" spans="1:1">
      <c r="A342" s="53">
        <v>46140</v>
      </c>
    </row>
    <row r="343" spans="1:1">
      <c r="A343" s="53">
        <v>46142</v>
      </c>
    </row>
    <row r="344" spans="1:1">
      <c r="A344" s="53">
        <v>46143</v>
      </c>
    </row>
    <row r="345" spans="1:1">
      <c r="A345" s="53">
        <v>46146</v>
      </c>
    </row>
    <row r="346" spans="1:1">
      <c r="A346" s="53">
        <v>46147</v>
      </c>
    </row>
    <row r="347" spans="1:1">
      <c r="A347" s="53">
        <v>46151</v>
      </c>
    </row>
    <row r="348" spans="1:1">
      <c r="A348" s="53">
        <v>46152</v>
      </c>
    </row>
    <row r="349" spans="1:1">
      <c r="A349" s="53">
        <v>46154</v>
      </c>
    </row>
    <row r="350" spans="1:1">
      <c r="A350" s="53">
        <v>46155</v>
      </c>
    </row>
    <row r="351" spans="1:1">
      <c r="A351" s="53">
        <v>46157</v>
      </c>
    </row>
    <row r="352" spans="1:1">
      <c r="A352" s="53">
        <v>46158</v>
      </c>
    </row>
    <row r="353" spans="1:1">
      <c r="A353" s="53">
        <v>46168</v>
      </c>
    </row>
    <row r="354" spans="1:1">
      <c r="A354" s="53">
        <v>46170</v>
      </c>
    </row>
    <row r="355" spans="1:1">
      <c r="A355" s="53">
        <v>46175</v>
      </c>
    </row>
    <row r="356" spans="1:1">
      <c r="A356" s="53">
        <v>46179</v>
      </c>
    </row>
    <row r="357" spans="1:1">
      <c r="A357" s="53">
        <v>46180</v>
      </c>
    </row>
    <row r="358" spans="1:1">
      <c r="A358" s="53">
        <v>46182</v>
      </c>
    </row>
    <row r="359" spans="1:1">
      <c r="A359" s="53">
        <v>46183</v>
      </c>
    </row>
    <row r="360" spans="1:1">
      <c r="A360" s="53">
        <v>46186</v>
      </c>
    </row>
    <row r="361" spans="1:1">
      <c r="A361" s="53">
        <v>46187</v>
      </c>
    </row>
    <row r="362" spans="1:1">
      <c r="A362" s="53">
        <v>46194</v>
      </c>
    </row>
    <row r="363" spans="1:1">
      <c r="A363" s="53">
        <v>46195</v>
      </c>
    </row>
    <row r="364" spans="1:1">
      <c r="A364" s="53">
        <v>46196</v>
      </c>
    </row>
    <row r="365" spans="1:1">
      <c r="A365" s="53">
        <v>46197</v>
      </c>
    </row>
    <row r="366" spans="1:1">
      <c r="A366" s="53">
        <v>46198</v>
      </c>
    </row>
    <row r="367" spans="1:1">
      <c r="A367" s="53">
        <v>46200</v>
      </c>
    </row>
    <row r="368" spans="1:1">
      <c r="A368" s="53">
        <v>46201</v>
      </c>
    </row>
    <row r="369" spans="1:1">
      <c r="A369" s="53">
        <v>46202</v>
      </c>
    </row>
    <row r="370" spans="1:1">
      <c r="A370" s="53">
        <v>46205</v>
      </c>
    </row>
    <row r="371" spans="1:1">
      <c r="A371" s="53">
        <v>46207</v>
      </c>
    </row>
    <row r="372" spans="1:1">
      <c r="A372" s="53">
        <v>46209</v>
      </c>
    </row>
    <row r="373" spans="1:1">
      <c r="A373" s="53">
        <v>46215</v>
      </c>
    </row>
    <row r="374" spans="1:1">
      <c r="A374" s="53">
        <v>46216</v>
      </c>
    </row>
    <row r="375" spans="1:1">
      <c r="A375" s="53">
        <v>46217</v>
      </c>
    </row>
    <row r="376" spans="1:1">
      <c r="A376" s="53">
        <v>46218</v>
      </c>
    </row>
    <row r="377" spans="1:1">
      <c r="A377" s="53">
        <v>46223</v>
      </c>
    </row>
    <row r="378" spans="1:1">
      <c r="A378" s="53">
        <v>46224</v>
      </c>
    </row>
    <row r="379" spans="1:1">
      <c r="A379" s="53">
        <v>46225</v>
      </c>
    </row>
    <row r="380" spans="1:1">
      <c r="A380" s="44" t="s">
        <v>382</v>
      </c>
    </row>
    <row r="381" spans="1:1">
      <c r="A381" s="44" t="s">
        <v>367</v>
      </c>
    </row>
  </sheetData>
  <pageMargins left="0.7" right="0.7" top="0.75" bottom="0.75" header="0.3" footer="0.3"/>
  <pageSetup orientation="portrait" horizontalDpi="0" verticalDpi="0"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B71F-518E-40F7-A8B3-C2D1A7F3FD4F}">
  <dimension ref="A1:T6"/>
  <sheetViews>
    <sheetView showGridLines="0" topLeftCell="A6" zoomScaleNormal="100" workbookViewId="0">
      <selection activeCell="Q17" sqref="Q17"/>
    </sheetView>
  </sheetViews>
  <sheetFormatPr defaultRowHeight="14.5"/>
  <cols>
    <col min="4" max="4" width="21.453125" bestFit="1" customWidth="1"/>
    <col min="6" max="6" width="18.08984375" customWidth="1"/>
    <col min="8" max="8" width="15.453125" customWidth="1"/>
    <col min="10" max="10" width="18.81640625" customWidth="1"/>
  </cols>
  <sheetData>
    <row r="1" spans="1:20" ht="25">
      <c r="A1" s="52"/>
      <c r="B1" s="52"/>
      <c r="C1" s="52"/>
      <c r="D1" s="52"/>
      <c r="E1" s="66" t="s">
        <v>380</v>
      </c>
      <c r="F1" s="67"/>
      <c r="G1" s="67"/>
      <c r="H1" s="67"/>
      <c r="I1" s="67"/>
      <c r="J1" s="67"/>
      <c r="K1" s="52"/>
      <c r="L1" s="67"/>
      <c r="M1" s="52"/>
      <c r="N1" s="52"/>
      <c r="O1" s="52"/>
      <c r="P1" s="52"/>
      <c r="Q1" s="52"/>
      <c r="R1" s="52"/>
      <c r="S1" s="52"/>
      <c r="T1" s="52"/>
    </row>
    <row r="2" spans="1:20" ht="15.5">
      <c r="A2" s="52"/>
      <c r="B2" s="52"/>
      <c r="C2" s="52"/>
      <c r="D2" s="52"/>
      <c r="E2" s="52"/>
      <c r="F2" s="68" t="s">
        <v>381</v>
      </c>
      <c r="G2" s="68"/>
      <c r="H2" s="68"/>
      <c r="I2" s="68"/>
      <c r="J2" s="52"/>
      <c r="K2" s="52"/>
      <c r="L2" s="52"/>
      <c r="M2" s="52"/>
      <c r="N2" s="52"/>
      <c r="O2" s="52"/>
      <c r="P2" s="52"/>
      <c r="Q2" s="52"/>
      <c r="R2" s="52"/>
      <c r="S2" s="52"/>
      <c r="T2" s="52"/>
    </row>
    <row r="3" spans="1:20" ht="15" thickBot="1"/>
    <row r="4" spans="1:20">
      <c r="D4" s="54" t="s">
        <v>384</v>
      </c>
      <c r="F4" s="54" t="s">
        <v>390</v>
      </c>
      <c r="H4" s="54" t="s">
        <v>391</v>
      </c>
      <c r="J4" s="54" t="s">
        <v>392</v>
      </c>
    </row>
    <row r="5" spans="1:20">
      <c r="D5" s="55"/>
      <c r="F5" s="55"/>
      <c r="H5" s="55"/>
      <c r="J5" s="55"/>
    </row>
    <row r="6" spans="1:20" ht="20.5" thickBot="1">
      <c r="D6" s="56">
        <f>COUNTA(PropertyTable[Property_ID])</f>
        <v>292</v>
      </c>
      <c r="F6" s="58">
        <f>AVERAGEA(PropertyTable[Price])</f>
        <v>178870.73315068483</v>
      </c>
      <c r="H6" s="59">
        <f>AVERAGEA(PropertyTable[Size_Sqm])</f>
        <v>294.52739726027397</v>
      </c>
      <c r="J6" s="69">
        <f>MAX(PropertyTable[Price])</f>
        <v>2000022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C259-DCCE-4EB9-86B3-B2A39E5B8A26}">
  <dimension ref="A1:V6"/>
  <sheetViews>
    <sheetView showGridLines="0" zoomScale="90" zoomScaleNormal="90" workbookViewId="0">
      <selection activeCell="R13" sqref="R13"/>
    </sheetView>
  </sheetViews>
  <sheetFormatPr defaultRowHeight="14.5"/>
  <cols>
    <col min="3" max="3" width="9.81640625" customWidth="1"/>
    <col min="4" max="4" width="21.453125" bestFit="1" customWidth="1"/>
    <col min="5" max="5" width="6.36328125" customWidth="1"/>
    <col min="6" max="6" width="23.453125" bestFit="1" customWidth="1"/>
    <col min="7" max="7" width="5.6328125" customWidth="1"/>
    <col min="8" max="8" width="20.08984375" bestFit="1" customWidth="1"/>
    <col min="9" max="9" width="5.1796875" customWidth="1"/>
    <col min="10" max="10" width="7.6328125" customWidth="1"/>
    <col min="11" max="11" width="23.26953125" customWidth="1"/>
  </cols>
  <sheetData>
    <row r="1" spans="1:22" ht="25">
      <c r="A1" s="52"/>
      <c r="B1" s="52"/>
      <c r="C1" s="52"/>
      <c r="D1" s="66" t="s">
        <v>388</v>
      </c>
      <c r="E1" s="67"/>
      <c r="F1" s="67"/>
      <c r="G1" s="67"/>
      <c r="H1" s="67"/>
      <c r="I1" s="67"/>
      <c r="J1" s="67"/>
      <c r="K1" s="67"/>
      <c r="L1" s="67"/>
      <c r="M1" s="67"/>
      <c r="N1" s="52"/>
      <c r="O1" s="67"/>
      <c r="P1" s="67"/>
      <c r="Q1" s="27"/>
      <c r="R1" s="27"/>
      <c r="S1" s="27"/>
      <c r="T1" s="27"/>
      <c r="U1" s="27"/>
      <c r="V1" s="27"/>
    </row>
    <row r="2" spans="1:22" ht="15.5">
      <c r="A2" s="52"/>
      <c r="B2" s="52"/>
      <c r="C2" s="52"/>
      <c r="D2" s="52"/>
      <c r="E2" s="68" t="s">
        <v>389</v>
      </c>
      <c r="F2" s="68"/>
      <c r="G2" s="68"/>
      <c r="H2" s="68"/>
      <c r="I2" s="68"/>
      <c r="J2" s="68"/>
      <c r="K2" s="68"/>
      <c r="L2" s="68"/>
      <c r="M2" s="52"/>
      <c r="N2" s="52"/>
      <c r="O2" s="52"/>
      <c r="P2" s="52"/>
      <c r="Q2" s="27"/>
      <c r="R2" s="27"/>
      <c r="S2" s="27"/>
      <c r="T2" s="27"/>
      <c r="U2" s="27"/>
      <c r="V2" s="27"/>
    </row>
    <row r="3" spans="1:22" ht="15" thickBot="1"/>
    <row r="4" spans="1:22">
      <c r="D4" s="54" t="s">
        <v>384</v>
      </c>
      <c r="F4" s="57" t="s">
        <v>385</v>
      </c>
      <c r="H4" s="54" t="s">
        <v>386</v>
      </c>
      <c r="I4" s="63"/>
      <c r="K4" s="60" t="s">
        <v>387</v>
      </c>
    </row>
    <row r="5" spans="1:22">
      <c r="D5" s="55"/>
      <c r="F5" s="55"/>
      <c r="H5" s="55"/>
      <c r="I5" s="85"/>
      <c r="K5" s="64"/>
      <c r="L5" s="61"/>
      <c r="M5" s="62"/>
      <c r="N5" s="63"/>
    </row>
    <row r="6" spans="1:22" ht="20.5" thickBot="1">
      <c r="D6" s="56">
        <f>COUNTA(PropertyTable[Property_ID])</f>
        <v>292</v>
      </c>
      <c r="F6" s="58">
        <f>SUM(PropertyTable[Price])</f>
        <v>52230254.079999968</v>
      </c>
      <c r="H6" s="59">
        <f>SUM(PropertyTable[Bedrooms])</f>
        <v>767</v>
      </c>
      <c r="I6" s="86"/>
      <c r="K6" s="65">
        <f>AVERAGEA(PropertyTable[Bedrooms])</f>
        <v>2.6267123287671232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C9FA-EEA6-43C8-A66D-09B42843DB3F}">
  <dimension ref="A1:XFD19"/>
  <sheetViews>
    <sheetView showGridLines="0" showRowColHeaders="0" workbookViewId="0">
      <selection activeCell="A18" sqref="A18"/>
    </sheetView>
  </sheetViews>
  <sheetFormatPr defaultRowHeight="14.5"/>
  <cols>
    <col min="4" max="4" width="104" bestFit="1" customWidth="1"/>
  </cols>
  <sheetData>
    <row r="1" spans="1:16384" ht="33">
      <c r="A1" s="52"/>
      <c r="B1" s="70"/>
      <c r="C1" s="70"/>
      <c r="D1" s="71" t="s">
        <v>393</v>
      </c>
      <c r="E1" s="70"/>
      <c r="F1" s="70"/>
      <c r="G1" s="52"/>
      <c r="H1" s="52"/>
      <c r="I1" s="52"/>
    </row>
    <row r="2" spans="1:16384">
      <c r="A2" s="52"/>
      <c r="B2" s="70"/>
      <c r="C2" s="70"/>
      <c r="D2" s="72" t="s">
        <v>394</v>
      </c>
      <c r="E2" s="70"/>
      <c r="F2" s="70"/>
      <c r="G2" s="52"/>
      <c r="H2" s="52"/>
      <c r="I2" s="52"/>
    </row>
    <row r="3" spans="1:16384" s="27" customFormat="1">
      <c r="B3" s="73"/>
      <c r="C3" s="73"/>
      <c r="D3" s="74"/>
      <c r="E3" s="73"/>
      <c r="F3" s="73"/>
    </row>
    <row r="4" spans="1:16384" s="27" customFormat="1" ht="25.5" customHeight="1">
      <c r="A4" s="83" t="s">
        <v>395</v>
      </c>
      <c r="B4" s="84"/>
      <c r="C4" s="84"/>
      <c r="D4" s="84"/>
      <c r="E4" s="79"/>
      <c r="F4" s="80"/>
      <c r="G4" s="80"/>
      <c r="H4" s="80"/>
      <c r="I4" s="79"/>
      <c r="J4" s="80"/>
      <c r="K4" s="80"/>
      <c r="L4" s="80"/>
      <c r="M4" s="79"/>
      <c r="N4" s="80"/>
      <c r="O4" s="80"/>
      <c r="P4" s="80"/>
      <c r="Q4" s="79"/>
      <c r="R4" s="80"/>
      <c r="S4" s="80"/>
      <c r="T4" s="80"/>
      <c r="U4" s="79"/>
      <c r="V4" s="80"/>
      <c r="W4" s="80"/>
      <c r="X4" s="80"/>
      <c r="Y4" s="79"/>
      <c r="Z4" s="80"/>
      <c r="AA4" s="80"/>
      <c r="AB4" s="80"/>
      <c r="AC4" s="79"/>
      <c r="AD4" s="80"/>
      <c r="AE4" s="80"/>
      <c r="AF4" s="80"/>
      <c r="AG4" s="79"/>
      <c r="AH4" s="80"/>
      <c r="AI4" s="80"/>
      <c r="AJ4" s="80"/>
      <c r="AK4" s="79"/>
      <c r="AL4" s="80"/>
      <c r="AM4" s="80"/>
      <c r="AN4" s="80"/>
      <c r="AO4" s="79"/>
      <c r="AP4" s="80"/>
      <c r="AQ4" s="80"/>
      <c r="AR4" s="80"/>
      <c r="AS4" s="79"/>
      <c r="AT4" s="80"/>
      <c r="AU4" s="80"/>
      <c r="AV4" s="80"/>
      <c r="AW4" s="79"/>
      <c r="AX4" s="80"/>
      <c r="AY4" s="80"/>
      <c r="AZ4" s="80"/>
      <c r="BA4" s="79"/>
      <c r="BB4" s="80"/>
      <c r="BC4" s="80"/>
      <c r="BD4" s="80"/>
      <c r="BE4" s="79"/>
      <c r="BF4" s="80"/>
      <c r="BG4" s="80"/>
      <c r="BH4" s="80"/>
      <c r="BI4" s="79"/>
      <c r="BJ4" s="80"/>
      <c r="BK4" s="80"/>
      <c r="BL4" s="80"/>
      <c r="BM4" s="79"/>
      <c r="BN4" s="80"/>
      <c r="BO4" s="80"/>
      <c r="BP4" s="80"/>
      <c r="BQ4" s="79"/>
      <c r="BR4" s="80"/>
      <c r="BS4" s="80"/>
      <c r="BT4" s="80"/>
      <c r="BU4" s="79"/>
      <c r="BV4" s="80"/>
      <c r="BW4" s="80"/>
      <c r="BX4" s="80"/>
      <c r="BY4" s="79"/>
      <c r="BZ4" s="80"/>
      <c r="CA4" s="80"/>
      <c r="CB4" s="80"/>
      <c r="CC4" s="79"/>
      <c r="CD4" s="80"/>
      <c r="CE4" s="80"/>
      <c r="CF4" s="80"/>
      <c r="CG4" s="79"/>
      <c r="CH4" s="80"/>
      <c r="CI4" s="80"/>
      <c r="CJ4" s="80"/>
      <c r="CK4" s="79"/>
      <c r="CL4" s="80"/>
      <c r="CM4" s="80"/>
      <c r="CN4" s="80"/>
      <c r="CO4" s="79"/>
      <c r="CP4" s="80"/>
      <c r="CQ4" s="80"/>
      <c r="CR4" s="80"/>
      <c r="CS4" s="79"/>
      <c r="CT4" s="80"/>
      <c r="CU4" s="80"/>
      <c r="CV4" s="80"/>
      <c r="CW4" s="79"/>
      <c r="CX4" s="80"/>
      <c r="CY4" s="80"/>
      <c r="CZ4" s="80"/>
      <c r="DA4" s="79"/>
      <c r="DB4" s="80"/>
      <c r="DC4" s="80"/>
      <c r="DD4" s="80"/>
      <c r="DE4" s="79"/>
      <c r="DF4" s="80"/>
      <c r="DG4" s="80"/>
      <c r="DH4" s="80"/>
      <c r="DI4" s="79"/>
      <c r="DJ4" s="80"/>
      <c r="DK4" s="80"/>
      <c r="DL4" s="80"/>
      <c r="DM4" s="79"/>
      <c r="DN4" s="80"/>
      <c r="DO4" s="80"/>
      <c r="DP4" s="80"/>
      <c r="DQ4" s="79"/>
      <c r="DR4" s="80"/>
      <c r="DS4" s="80"/>
      <c r="DT4" s="80"/>
      <c r="DU4" s="79"/>
      <c r="DV4" s="80"/>
      <c r="DW4" s="80"/>
      <c r="DX4" s="80"/>
      <c r="DY4" s="79"/>
      <c r="DZ4" s="80"/>
      <c r="EA4" s="80"/>
      <c r="EB4" s="80"/>
      <c r="EC4" s="79"/>
      <c r="ED4" s="80"/>
      <c r="EE4" s="80"/>
      <c r="EF4" s="80"/>
      <c r="EG4" s="79"/>
      <c r="EH4" s="80"/>
      <c r="EI4" s="80"/>
      <c r="EJ4" s="80"/>
      <c r="EK4" s="79"/>
      <c r="EL4" s="80"/>
      <c r="EM4" s="80"/>
      <c r="EN4" s="80"/>
      <c r="EO4" s="79"/>
      <c r="EP4" s="80"/>
      <c r="EQ4" s="80"/>
      <c r="ER4" s="80"/>
      <c r="ES4" s="79"/>
      <c r="ET4" s="80"/>
      <c r="EU4" s="80"/>
      <c r="EV4" s="80"/>
      <c r="EW4" s="79"/>
      <c r="EX4" s="80"/>
      <c r="EY4" s="80"/>
      <c r="EZ4" s="80"/>
      <c r="FA4" s="79"/>
      <c r="FB4" s="80"/>
      <c r="FC4" s="80"/>
      <c r="FD4" s="80"/>
      <c r="FE4" s="79"/>
      <c r="FF4" s="80"/>
      <c r="FG4" s="80"/>
      <c r="FH4" s="80"/>
      <c r="FI4" s="79"/>
      <c r="FJ4" s="80"/>
      <c r="FK4" s="80"/>
      <c r="FL4" s="80"/>
      <c r="FM4" s="79"/>
      <c r="FN4" s="80"/>
      <c r="FO4" s="80"/>
      <c r="FP4" s="80"/>
      <c r="FQ4" s="79"/>
      <c r="FR4" s="80"/>
      <c r="FS4" s="80"/>
      <c r="FT4" s="80"/>
      <c r="FU4" s="79"/>
      <c r="FV4" s="80"/>
      <c r="FW4" s="80"/>
      <c r="FX4" s="80"/>
      <c r="FY4" s="79"/>
      <c r="FZ4" s="80"/>
      <c r="GA4" s="80"/>
      <c r="GB4" s="80"/>
      <c r="GC4" s="79"/>
      <c r="GD4" s="80"/>
      <c r="GE4" s="80"/>
      <c r="GF4" s="80"/>
      <c r="GG4" s="79"/>
      <c r="GH4" s="80"/>
      <c r="GI4" s="80"/>
      <c r="GJ4" s="80"/>
      <c r="GK4" s="79"/>
      <c r="GL4" s="80"/>
      <c r="GM4" s="80"/>
      <c r="GN4" s="80"/>
      <c r="GO4" s="79"/>
      <c r="GP4" s="80"/>
      <c r="GQ4" s="80"/>
      <c r="GR4" s="80"/>
      <c r="GS4" s="79"/>
      <c r="GT4" s="80"/>
      <c r="GU4" s="80"/>
      <c r="GV4" s="80"/>
      <c r="GW4" s="79"/>
      <c r="GX4" s="80"/>
      <c r="GY4" s="80"/>
      <c r="GZ4" s="80"/>
      <c r="HA4" s="79"/>
      <c r="HB4" s="80"/>
      <c r="HC4" s="80"/>
      <c r="HD4" s="80"/>
      <c r="HE4" s="79"/>
      <c r="HF4" s="80"/>
      <c r="HG4" s="80"/>
      <c r="HH4" s="80"/>
      <c r="HI4" s="79"/>
      <c r="HJ4" s="80"/>
      <c r="HK4" s="80"/>
      <c r="HL4" s="80"/>
      <c r="HM4" s="79"/>
      <c r="HN4" s="80"/>
      <c r="HO4" s="80"/>
      <c r="HP4" s="80"/>
      <c r="HQ4" s="79"/>
      <c r="HR4" s="80"/>
      <c r="HS4" s="80"/>
      <c r="HT4" s="80"/>
      <c r="HU4" s="79"/>
      <c r="HV4" s="80"/>
      <c r="HW4" s="80"/>
      <c r="HX4" s="80"/>
      <c r="HY4" s="79"/>
      <c r="HZ4" s="80"/>
      <c r="IA4" s="80"/>
      <c r="IB4" s="80"/>
      <c r="IC4" s="79"/>
      <c r="ID4" s="80"/>
      <c r="IE4" s="80"/>
      <c r="IF4" s="80"/>
      <c r="IG4" s="79"/>
      <c r="IH4" s="80"/>
      <c r="II4" s="80"/>
      <c r="IJ4" s="80"/>
      <c r="IK4" s="79"/>
      <c r="IL4" s="80"/>
      <c r="IM4" s="80"/>
      <c r="IN4" s="80"/>
      <c r="IO4" s="79"/>
      <c r="IP4" s="80"/>
      <c r="IQ4" s="80"/>
      <c r="IR4" s="80"/>
      <c r="IS4" s="79"/>
      <c r="IT4" s="80"/>
      <c r="IU4" s="80"/>
      <c r="IV4" s="80"/>
      <c r="IW4" s="79"/>
      <c r="IX4" s="80"/>
      <c r="IY4" s="80"/>
      <c r="IZ4" s="80"/>
      <c r="JA4" s="79"/>
      <c r="JB4" s="80"/>
      <c r="JC4" s="80"/>
      <c r="JD4" s="80"/>
      <c r="JE4" s="79"/>
      <c r="JF4" s="80"/>
      <c r="JG4" s="80"/>
      <c r="JH4" s="80"/>
      <c r="JI4" s="79"/>
      <c r="JJ4" s="80"/>
      <c r="JK4" s="80"/>
      <c r="JL4" s="80"/>
      <c r="JM4" s="79"/>
      <c r="JN4" s="80"/>
      <c r="JO4" s="80"/>
      <c r="JP4" s="80"/>
      <c r="JQ4" s="79"/>
      <c r="JR4" s="80"/>
      <c r="JS4" s="80"/>
      <c r="JT4" s="80"/>
      <c r="JU4" s="79"/>
      <c r="JV4" s="80"/>
      <c r="JW4" s="80"/>
      <c r="JX4" s="80"/>
      <c r="JY4" s="79"/>
      <c r="JZ4" s="80"/>
      <c r="KA4" s="80"/>
      <c r="KB4" s="80"/>
      <c r="KC4" s="79"/>
      <c r="KD4" s="80"/>
      <c r="KE4" s="80"/>
      <c r="KF4" s="80"/>
      <c r="KG4" s="79"/>
      <c r="KH4" s="80"/>
      <c r="KI4" s="80"/>
      <c r="KJ4" s="80"/>
      <c r="KK4" s="79"/>
      <c r="KL4" s="80"/>
      <c r="KM4" s="80"/>
      <c r="KN4" s="80"/>
      <c r="KO4" s="79"/>
      <c r="KP4" s="80"/>
      <c r="KQ4" s="80"/>
      <c r="KR4" s="80"/>
      <c r="KS4" s="79"/>
      <c r="KT4" s="80"/>
      <c r="KU4" s="80"/>
      <c r="KV4" s="80"/>
      <c r="KW4" s="79"/>
      <c r="KX4" s="80"/>
      <c r="KY4" s="80"/>
      <c r="KZ4" s="80"/>
      <c r="LA4" s="79"/>
      <c r="LB4" s="80"/>
      <c r="LC4" s="80"/>
      <c r="LD4" s="80"/>
      <c r="LE4" s="79"/>
      <c r="LF4" s="80"/>
      <c r="LG4" s="80"/>
      <c r="LH4" s="80"/>
      <c r="LI4" s="79"/>
      <c r="LJ4" s="80"/>
      <c r="LK4" s="80"/>
      <c r="LL4" s="80"/>
      <c r="LM4" s="79"/>
      <c r="LN4" s="80"/>
      <c r="LO4" s="80"/>
      <c r="LP4" s="80"/>
      <c r="LQ4" s="79"/>
      <c r="LR4" s="80"/>
      <c r="LS4" s="80"/>
      <c r="LT4" s="80"/>
      <c r="LU4" s="79"/>
      <c r="LV4" s="80"/>
      <c r="LW4" s="80"/>
      <c r="LX4" s="80"/>
      <c r="LY4" s="79"/>
      <c r="LZ4" s="80"/>
      <c r="MA4" s="80"/>
      <c r="MB4" s="80"/>
      <c r="MC4" s="79"/>
      <c r="MD4" s="80"/>
      <c r="ME4" s="80"/>
      <c r="MF4" s="80"/>
      <c r="MG4" s="79"/>
      <c r="MH4" s="80"/>
      <c r="MI4" s="80"/>
      <c r="MJ4" s="80"/>
      <c r="MK4" s="79"/>
      <c r="ML4" s="80"/>
      <c r="MM4" s="80"/>
      <c r="MN4" s="80"/>
      <c r="MO4" s="79"/>
      <c r="MP4" s="80"/>
      <c r="MQ4" s="80"/>
      <c r="MR4" s="80"/>
      <c r="MS4" s="79"/>
      <c r="MT4" s="80"/>
      <c r="MU4" s="80"/>
      <c r="MV4" s="80"/>
      <c r="MW4" s="79"/>
      <c r="MX4" s="80"/>
      <c r="MY4" s="80"/>
      <c r="MZ4" s="80"/>
      <c r="NA4" s="79"/>
      <c r="NB4" s="80"/>
      <c r="NC4" s="80"/>
      <c r="ND4" s="80"/>
      <c r="NE4" s="79"/>
      <c r="NF4" s="80"/>
      <c r="NG4" s="80"/>
      <c r="NH4" s="80"/>
      <c r="NI4" s="79"/>
      <c r="NJ4" s="80"/>
      <c r="NK4" s="80"/>
      <c r="NL4" s="80"/>
      <c r="NM4" s="79"/>
      <c r="NN4" s="80"/>
      <c r="NO4" s="80"/>
      <c r="NP4" s="80"/>
      <c r="NQ4" s="79"/>
      <c r="NR4" s="80"/>
      <c r="NS4" s="80"/>
      <c r="NT4" s="80"/>
      <c r="NU4" s="79"/>
      <c r="NV4" s="80"/>
      <c r="NW4" s="80"/>
      <c r="NX4" s="80"/>
      <c r="NY4" s="79"/>
      <c r="NZ4" s="80"/>
      <c r="OA4" s="80"/>
      <c r="OB4" s="80"/>
      <c r="OC4" s="79"/>
      <c r="OD4" s="80"/>
      <c r="OE4" s="80"/>
      <c r="OF4" s="80"/>
      <c r="OG4" s="79"/>
      <c r="OH4" s="80"/>
      <c r="OI4" s="80"/>
      <c r="OJ4" s="80"/>
      <c r="OK4" s="79"/>
      <c r="OL4" s="80"/>
      <c r="OM4" s="80"/>
      <c r="ON4" s="80"/>
      <c r="OO4" s="79"/>
      <c r="OP4" s="80"/>
      <c r="OQ4" s="80"/>
      <c r="OR4" s="80"/>
      <c r="OS4" s="79"/>
      <c r="OT4" s="80"/>
      <c r="OU4" s="80"/>
      <c r="OV4" s="80"/>
      <c r="OW4" s="79"/>
      <c r="OX4" s="80"/>
      <c r="OY4" s="80"/>
      <c r="OZ4" s="80"/>
      <c r="PA4" s="79"/>
      <c r="PB4" s="80"/>
      <c r="PC4" s="80"/>
      <c r="PD4" s="80"/>
      <c r="PE4" s="79"/>
      <c r="PF4" s="80"/>
      <c r="PG4" s="80"/>
      <c r="PH4" s="80"/>
      <c r="PI4" s="79"/>
      <c r="PJ4" s="80"/>
      <c r="PK4" s="80"/>
      <c r="PL4" s="80"/>
      <c r="PM4" s="79"/>
      <c r="PN4" s="80"/>
      <c r="PO4" s="80"/>
      <c r="PP4" s="80"/>
      <c r="PQ4" s="79"/>
      <c r="PR4" s="80"/>
      <c r="PS4" s="80"/>
      <c r="PT4" s="80"/>
      <c r="PU4" s="79"/>
      <c r="PV4" s="80"/>
      <c r="PW4" s="80"/>
      <c r="PX4" s="80"/>
      <c r="PY4" s="79"/>
      <c r="PZ4" s="80"/>
      <c r="QA4" s="80"/>
      <c r="QB4" s="80"/>
      <c r="QC4" s="79"/>
      <c r="QD4" s="80"/>
      <c r="QE4" s="80"/>
      <c r="QF4" s="80"/>
      <c r="QG4" s="79"/>
      <c r="QH4" s="80"/>
      <c r="QI4" s="80"/>
      <c r="QJ4" s="80"/>
      <c r="QK4" s="79"/>
      <c r="QL4" s="80"/>
      <c r="QM4" s="80"/>
      <c r="QN4" s="80"/>
      <c r="QO4" s="79"/>
      <c r="QP4" s="80"/>
      <c r="QQ4" s="80"/>
      <c r="QR4" s="80"/>
      <c r="QS4" s="79"/>
      <c r="QT4" s="80"/>
      <c r="QU4" s="80"/>
      <c r="QV4" s="80"/>
      <c r="QW4" s="79"/>
      <c r="QX4" s="80"/>
      <c r="QY4" s="80"/>
      <c r="QZ4" s="80"/>
      <c r="RA4" s="79"/>
      <c r="RB4" s="80"/>
      <c r="RC4" s="80"/>
      <c r="RD4" s="80"/>
      <c r="RE4" s="79"/>
      <c r="RF4" s="80"/>
      <c r="RG4" s="80"/>
      <c r="RH4" s="80"/>
      <c r="RI4" s="79"/>
      <c r="RJ4" s="80"/>
      <c r="RK4" s="80"/>
      <c r="RL4" s="80"/>
      <c r="RM4" s="79"/>
      <c r="RN4" s="80"/>
      <c r="RO4" s="80"/>
      <c r="RP4" s="80"/>
      <c r="RQ4" s="79"/>
      <c r="RR4" s="80"/>
      <c r="RS4" s="80"/>
      <c r="RT4" s="80"/>
      <c r="RU4" s="79"/>
      <c r="RV4" s="80"/>
      <c r="RW4" s="80"/>
      <c r="RX4" s="80"/>
      <c r="RY4" s="79"/>
      <c r="RZ4" s="80"/>
      <c r="SA4" s="80"/>
      <c r="SB4" s="80"/>
      <c r="SC4" s="79"/>
      <c r="SD4" s="80"/>
      <c r="SE4" s="80"/>
      <c r="SF4" s="80"/>
      <c r="SG4" s="79"/>
      <c r="SH4" s="80"/>
      <c r="SI4" s="80"/>
      <c r="SJ4" s="80"/>
      <c r="SK4" s="79"/>
      <c r="SL4" s="80"/>
      <c r="SM4" s="80"/>
      <c r="SN4" s="80"/>
      <c r="SO4" s="79"/>
      <c r="SP4" s="80"/>
      <c r="SQ4" s="80"/>
      <c r="SR4" s="80"/>
      <c r="SS4" s="79"/>
      <c r="ST4" s="80"/>
      <c r="SU4" s="80"/>
      <c r="SV4" s="80"/>
      <c r="SW4" s="79"/>
      <c r="SX4" s="80"/>
      <c r="SY4" s="80"/>
      <c r="SZ4" s="80"/>
      <c r="TA4" s="79"/>
      <c r="TB4" s="80"/>
      <c r="TC4" s="80"/>
      <c r="TD4" s="80"/>
      <c r="TE4" s="79"/>
      <c r="TF4" s="80"/>
      <c r="TG4" s="80"/>
      <c r="TH4" s="80"/>
      <c r="TI4" s="79"/>
      <c r="TJ4" s="80"/>
      <c r="TK4" s="80"/>
      <c r="TL4" s="80"/>
      <c r="TM4" s="79"/>
      <c r="TN4" s="80"/>
      <c r="TO4" s="80"/>
      <c r="TP4" s="80"/>
      <c r="TQ4" s="79"/>
      <c r="TR4" s="80"/>
      <c r="TS4" s="80"/>
      <c r="TT4" s="80"/>
      <c r="TU4" s="79"/>
      <c r="TV4" s="80"/>
      <c r="TW4" s="80"/>
      <c r="TX4" s="80"/>
      <c r="TY4" s="79"/>
      <c r="TZ4" s="80"/>
      <c r="UA4" s="80"/>
      <c r="UB4" s="80"/>
      <c r="UC4" s="79"/>
      <c r="UD4" s="80"/>
      <c r="UE4" s="80"/>
      <c r="UF4" s="80"/>
      <c r="UG4" s="79"/>
      <c r="UH4" s="80"/>
      <c r="UI4" s="80"/>
      <c r="UJ4" s="80"/>
      <c r="UK4" s="79"/>
      <c r="UL4" s="80"/>
      <c r="UM4" s="80"/>
      <c r="UN4" s="80"/>
      <c r="UO4" s="79"/>
      <c r="UP4" s="80"/>
      <c r="UQ4" s="80"/>
      <c r="UR4" s="80"/>
      <c r="US4" s="79"/>
      <c r="UT4" s="80"/>
      <c r="UU4" s="80"/>
      <c r="UV4" s="80"/>
      <c r="UW4" s="79"/>
      <c r="UX4" s="80"/>
      <c r="UY4" s="80"/>
      <c r="UZ4" s="80"/>
      <c r="VA4" s="79"/>
      <c r="VB4" s="80"/>
      <c r="VC4" s="80"/>
      <c r="VD4" s="80"/>
      <c r="VE4" s="79"/>
      <c r="VF4" s="80"/>
      <c r="VG4" s="80"/>
      <c r="VH4" s="80"/>
      <c r="VI4" s="79"/>
      <c r="VJ4" s="80"/>
      <c r="VK4" s="80"/>
      <c r="VL4" s="80"/>
      <c r="VM4" s="79"/>
      <c r="VN4" s="80"/>
      <c r="VO4" s="80"/>
      <c r="VP4" s="80"/>
      <c r="VQ4" s="79"/>
      <c r="VR4" s="80"/>
      <c r="VS4" s="80"/>
      <c r="VT4" s="80"/>
      <c r="VU4" s="79"/>
      <c r="VV4" s="80"/>
      <c r="VW4" s="80"/>
      <c r="VX4" s="80"/>
      <c r="VY4" s="79"/>
      <c r="VZ4" s="80"/>
      <c r="WA4" s="80"/>
      <c r="WB4" s="80"/>
      <c r="WC4" s="79"/>
      <c r="WD4" s="80"/>
      <c r="WE4" s="80"/>
      <c r="WF4" s="80"/>
      <c r="WG4" s="79"/>
      <c r="WH4" s="80"/>
      <c r="WI4" s="80"/>
      <c r="WJ4" s="80"/>
      <c r="WK4" s="79"/>
      <c r="WL4" s="80"/>
      <c r="WM4" s="80"/>
      <c r="WN4" s="80"/>
      <c r="WO4" s="79"/>
      <c r="WP4" s="80"/>
      <c r="WQ4" s="80"/>
      <c r="WR4" s="80"/>
      <c r="WS4" s="79"/>
      <c r="WT4" s="80"/>
      <c r="WU4" s="80"/>
      <c r="WV4" s="80"/>
      <c r="WW4" s="79"/>
      <c r="WX4" s="80"/>
      <c r="WY4" s="80"/>
      <c r="WZ4" s="80"/>
      <c r="XA4" s="79"/>
      <c r="XB4" s="80"/>
      <c r="XC4" s="80"/>
      <c r="XD4" s="80"/>
      <c r="XE4" s="79"/>
      <c r="XF4" s="80"/>
      <c r="XG4" s="80"/>
      <c r="XH4" s="80"/>
      <c r="XI4" s="79"/>
      <c r="XJ4" s="80"/>
      <c r="XK4" s="80"/>
      <c r="XL4" s="80"/>
      <c r="XM4" s="79"/>
      <c r="XN4" s="80"/>
      <c r="XO4" s="80"/>
      <c r="XP4" s="80"/>
      <c r="XQ4" s="79"/>
      <c r="XR4" s="80"/>
      <c r="XS4" s="80"/>
      <c r="XT4" s="80"/>
      <c r="XU4" s="79"/>
      <c r="XV4" s="80"/>
      <c r="XW4" s="80"/>
      <c r="XX4" s="80"/>
      <c r="XY4" s="79"/>
      <c r="XZ4" s="80"/>
      <c r="YA4" s="80"/>
      <c r="YB4" s="80"/>
      <c r="YC4" s="79"/>
      <c r="YD4" s="80"/>
      <c r="YE4" s="80"/>
      <c r="YF4" s="80"/>
      <c r="YG4" s="79"/>
      <c r="YH4" s="80"/>
      <c r="YI4" s="80"/>
      <c r="YJ4" s="80"/>
      <c r="YK4" s="79"/>
      <c r="YL4" s="80"/>
      <c r="YM4" s="80"/>
      <c r="YN4" s="80"/>
      <c r="YO4" s="79"/>
      <c r="YP4" s="80"/>
      <c r="YQ4" s="80"/>
      <c r="YR4" s="80"/>
      <c r="YS4" s="79"/>
      <c r="YT4" s="80"/>
      <c r="YU4" s="80"/>
      <c r="YV4" s="80"/>
      <c r="YW4" s="79"/>
      <c r="YX4" s="80"/>
      <c r="YY4" s="80"/>
      <c r="YZ4" s="80"/>
      <c r="ZA4" s="79"/>
      <c r="ZB4" s="80"/>
      <c r="ZC4" s="80"/>
      <c r="ZD4" s="80"/>
      <c r="ZE4" s="79"/>
      <c r="ZF4" s="80"/>
      <c r="ZG4" s="80"/>
      <c r="ZH4" s="80"/>
      <c r="ZI4" s="79"/>
      <c r="ZJ4" s="80"/>
      <c r="ZK4" s="80"/>
      <c r="ZL4" s="80"/>
      <c r="ZM4" s="79"/>
      <c r="ZN4" s="80"/>
      <c r="ZO4" s="80"/>
      <c r="ZP4" s="80"/>
      <c r="ZQ4" s="79"/>
      <c r="ZR4" s="80"/>
      <c r="ZS4" s="80"/>
      <c r="ZT4" s="80"/>
      <c r="ZU4" s="79"/>
      <c r="ZV4" s="80"/>
      <c r="ZW4" s="80"/>
      <c r="ZX4" s="80"/>
      <c r="ZY4" s="79"/>
      <c r="ZZ4" s="80"/>
      <c r="AAA4" s="80"/>
      <c r="AAB4" s="80"/>
      <c r="AAC4" s="79"/>
      <c r="AAD4" s="80"/>
      <c r="AAE4" s="80"/>
      <c r="AAF4" s="80"/>
      <c r="AAG4" s="79"/>
      <c r="AAH4" s="80"/>
      <c r="AAI4" s="80"/>
      <c r="AAJ4" s="80"/>
      <c r="AAK4" s="79"/>
      <c r="AAL4" s="80"/>
      <c r="AAM4" s="80"/>
      <c r="AAN4" s="80"/>
      <c r="AAO4" s="79"/>
      <c r="AAP4" s="80"/>
      <c r="AAQ4" s="80"/>
      <c r="AAR4" s="80"/>
      <c r="AAS4" s="79"/>
      <c r="AAT4" s="80"/>
      <c r="AAU4" s="80"/>
      <c r="AAV4" s="80"/>
      <c r="AAW4" s="79"/>
      <c r="AAX4" s="80"/>
      <c r="AAY4" s="80"/>
      <c r="AAZ4" s="80"/>
      <c r="ABA4" s="79"/>
      <c r="ABB4" s="80"/>
      <c r="ABC4" s="80"/>
      <c r="ABD4" s="80"/>
      <c r="ABE4" s="79"/>
      <c r="ABF4" s="80"/>
      <c r="ABG4" s="80"/>
      <c r="ABH4" s="80"/>
      <c r="ABI4" s="79"/>
      <c r="ABJ4" s="80"/>
      <c r="ABK4" s="80"/>
      <c r="ABL4" s="80"/>
      <c r="ABM4" s="79"/>
      <c r="ABN4" s="80"/>
      <c r="ABO4" s="80"/>
      <c r="ABP4" s="80"/>
      <c r="ABQ4" s="79"/>
      <c r="ABR4" s="80"/>
      <c r="ABS4" s="80"/>
      <c r="ABT4" s="80"/>
      <c r="ABU4" s="79"/>
      <c r="ABV4" s="80"/>
      <c r="ABW4" s="80"/>
      <c r="ABX4" s="80"/>
      <c r="ABY4" s="79"/>
      <c r="ABZ4" s="80"/>
      <c r="ACA4" s="80"/>
      <c r="ACB4" s="80"/>
      <c r="ACC4" s="79"/>
      <c r="ACD4" s="80"/>
      <c r="ACE4" s="80"/>
      <c r="ACF4" s="80"/>
      <c r="ACG4" s="79"/>
      <c r="ACH4" s="80"/>
      <c r="ACI4" s="80"/>
      <c r="ACJ4" s="80"/>
      <c r="ACK4" s="79"/>
      <c r="ACL4" s="80"/>
      <c r="ACM4" s="80"/>
      <c r="ACN4" s="80"/>
      <c r="ACO4" s="79"/>
      <c r="ACP4" s="80"/>
      <c r="ACQ4" s="80"/>
      <c r="ACR4" s="80"/>
      <c r="ACS4" s="79"/>
      <c r="ACT4" s="80"/>
      <c r="ACU4" s="80"/>
      <c r="ACV4" s="80"/>
      <c r="ACW4" s="79"/>
      <c r="ACX4" s="80"/>
      <c r="ACY4" s="80"/>
      <c r="ACZ4" s="80"/>
      <c r="ADA4" s="79"/>
      <c r="ADB4" s="80"/>
      <c r="ADC4" s="80"/>
      <c r="ADD4" s="80"/>
      <c r="ADE4" s="79"/>
      <c r="ADF4" s="80"/>
      <c r="ADG4" s="80"/>
      <c r="ADH4" s="80"/>
      <c r="ADI4" s="79"/>
      <c r="ADJ4" s="80"/>
      <c r="ADK4" s="80"/>
      <c r="ADL4" s="80"/>
      <c r="ADM4" s="79"/>
      <c r="ADN4" s="80"/>
      <c r="ADO4" s="80"/>
      <c r="ADP4" s="80"/>
      <c r="ADQ4" s="79"/>
      <c r="ADR4" s="80"/>
      <c r="ADS4" s="80"/>
      <c r="ADT4" s="80"/>
      <c r="ADU4" s="79"/>
      <c r="ADV4" s="80"/>
      <c r="ADW4" s="80"/>
      <c r="ADX4" s="80"/>
      <c r="ADY4" s="79"/>
      <c r="ADZ4" s="80"/>
      <c r="AEA4" s="80"/>
      <c r="AEB4" s="80"/>
      <c r="AEC4" s="79"/>
      <c r="AED4" s="80"/>
      <c r="AEE4" s="80"/>
      <c r="AEF4" s="80"/>
      <c r="AEG4" s="79"/>
      <c r="AEH4" s="80"/>
      <c r="AEI4" s="80"/>
      <c r="AEJ4" s="80"/>
      <c r="AEK4" s="79"/>
      <c r="AEL4" s="80"/>
      <c r="AEM4" s="80"/>
      <c r="AEN4" s="80"/>
      <c r="AEO4" s="79"/>
      <c r="AEP4" s="80"/>
      <c r="AEQ4" s="80"/>
      <c r="AER4" s="80"/>
      <c r="AES4" s="79"/>
      <c r="AET4" s="80"/>
      <c r="AEU4" s="80"/>
      <c r="AEV4" s="80"/>
      <c r="AEW4" s="79"/>
      <c r="AEX4" s="80"/>
      <c r="AEY4" s="80"/>
      <c r="AEZ4" s="80"/>
      <c r="AFA4" s="79"/>
      <c r="AFB4" s="80"/>
      <c r="AFC4" s="80"/>
      <c r="AFD4" s="80"/>
      <c r="AFE4" s="79"/>
      <c r="AFF4" s="80"/>
      <c r="AFG4" s="80"/>
      <c r="AFH4" s="80"/>
      <c r="AFI4" s="79"/>
      <c r="AFJ4" s="80"/>
      <c r="AFK4" s="80"/>
      <c r="AFL4" s="80"/>
      <c r="AFM4" s="79"/>
      <c r="AFN4" s="80"/>
      <c r="AFO4" s="80"/>
      <c r="AFP4" s="80"/>
      <c r="AFQ4" s="79"/>
      <c r="AFR4" s="80"/>
      <c r="AFS4" s="80"/>
      <c r="AFT4" s="80"/>
      <c r="AFU4" s="79"/>
      <c r="AFV4" s="80"/>
      <c r="AFW4" s="80"/>
      <c r="AFX4" s="80"/>
      <c r="AFY4" s="79"/>
      <c r="AFZ4" s="80"/>
      <c r="AGA4" s="80"/>
      <c r="AGB4" s="80"/>
      <c r="AGC4" s="79"/>
      <c r="AGD4" s="80"/>
      <c r="AGE4" s="80"/>
      <c r="AGF4" s="80"/>
      <c r="AGG4" s="79"/>
      <c r="AGH4" s="80"/>
      <c r="AGI4" s="80"/>
      <c r="AGJ4" s="80"/>
      <c r="AGK4" s="79"/>
      <c r="AGL4" s="80"/>
      <c r="AGM4" s="80"/>
      <c r="AGN4" s="80"/>
      <c r="AGO4" s="79"/>
      <c r="AGP4" s="80"/>
      <c r="AGQ4" s="80"/>
      <c r="AGR4" s="80"/>
      <c r="AGS4" s="79"/>
      <c r="AGT4" s="80"/>
      <c r="AGU4" s="80"/>
      <c r="AGV4" s="80"/>
      <c r="AGW4" s="79"/>
      <c r="AGX4" s="80"/>
      <c r="AGY4" s="80"/>
      <c r="AGZ4" s="80"/>
      <c r="AHA4" s="79"/>
      <c r="AHB4" s="80"/>
      <c r="AHC4" s="80"/>
      <c r="AHD4" s="80"/>
      <c r="AHE4" s="79"/>
      <c r="AHF4" s="80"/>
      <c r="AHG4" s="80"/>
      <c r="AHH4" s="80"/>
      <c r="AHI4" s="79"/>
      <c r="AHJ4" s="80"/>
      <c r="AHK4" s="80"/>
      <c r="AHL4" s="80"/>
      <c r="AHM4" s="79"/>
      <c r="AHN4" s="80"/>
      <c r="AHO4" s="80"/>
      <c r="AHP4" s="80"/>
      <c r="AHQ4" s="79"/>
      <c r="AHR4" s="80"/>
      <c r="AHS4" s="80"/>
      <c r="AHT4" s="80"/>
      <c r="AHU4" s="79"/>
      <c r="AHV4" s="80"/>
      <c r="AHW4" s="80"/>
      <c r="AHX4" s="80"/>
      <c r="AHY4" s="79"/>
      <c r="AHZ4" s="80"/>
      <c r="AIA4" s="80"/>
      <c r="AIB4" s="80"/>
      <c r="AIC4" s="79"/>
      <c r="AID4" s="80"/>
      <c r="AIE4" s="80"/>
      <c r="AIF4" s="80"/>
      <c r="AIG4" s="79"/>
      <c r="AIH4" s="80"/>
      <c r="AII4" s="80"/>
      <c r="AIJ4" s="80"/>
      <c r="AIK4" s="79"/>
      <c r="AIL4" s="80"/>
      <c r="AIM4" s="80"/>
      <c r="AIN4" s="80"/>
      <c r="AIO4" s="79"/>
      <c r="AIP4" s="80"/>
      <c r="AIQ4" s="80"/>
      <c r="AIR4" s="80"/>
      <c r="AIS4" s="79"/>
      <c r="AIT4" s="80"/>
      <c r="AIU4" s="80"/>
      <c r="AIV4" s="80"/>
      <c r="AIW4" s="79"/>
      <c r="AIX4" s="80"/>
      <c r="AIY4" s="80"/>
      <c r="AIZ4" s="80"/>
      <c r="AJA4" s="79"/>
      <c r="AJB4" s="80"/>
      <c r="AJC4" s="80"/>
      <c r="AJD4" s="80"/>
      <c r="AJE4" s="79"/>
      <c r="AJF4" s="80"/>
      <c r="AJG4" s="80"/>
      <c r="AJH4" s="80"/>
      <c r="AJI4" s="79"/>
      <c r="AJJ4" s="80"/>
      <c r="AJK4" s="80"/>
      <c r="AJL4" s="80"/>
      <c r="AJM4" s="79"/>
      <c r="AJN4" s="80"/>
      <c r="AJO4" s="80"/>
      <c r="AJP4" s="80"/>
      <c r="AJQ4" s="79"/>
      <c r="AJR4" s="80"/>
      <c r="AJS4" s="80"/>
      <c r="AJT4" s="80"/>
      <c r="AJU4" s="79"/>
      <c r="AJV4" s="80"/>
      <c r="AJW4" s="80"/>
      <c r="AJX4" s="80"/>
      <c r="AJY4" s="79"/>
      <c r="AJZ4" s="80"/>
      <c r="AKA4" s="80"/>
      <c r="AKB4" s="80"/>
      <c r="AKC4" s="79"/>
      <c r="AKD4" s="80"/>
      <c r="AKE4" s="80"/>
      <c r="AKF4" s="80"/>
      <c r="AKG4" s="79"/>
      <c r="AKH4" s="80"/>
      <c r="AKI4" s="80"/>
      <c r="AKJ4" s="80"/>
      <c r="AKK4" s="79"/>
      <c r="AKL4" s="80"/>
      <c r="AKM4" s="80"/>
      <c r="AKN4" s="80"/>
      <c r="AKO4" s="79"/>
      <c r="AKP4" s="80"/>
      <c r="AKQ4" s="80"/>
      <c r="AKR4" s="80"/>
      <c r="AKS4" s="79"/>
      <c r="AKT4" s="80"/>
      <c r="AKU4" s="80"/>
      <c r="AKV4" s="80"/>
      <c r="AKW4" s="79"/>
      <c r="AKX4" s="80"/>
      <c r="AKY4" s="80"/>
      <c r="AKZ4" s="80"/>
      <c r="ALA4" s="79"/>
      <c r="ALB4" s="80"/>
      <c r="ALC4" s="80"/>
      <c r="ALD4" s="80"/>
      <c r="ALE4" s="79"/>
      <c r="ALF4" s="80"/>
      <c r="ALG4" s="80"/>
      <c r="ALH4" s="80"/>
      <c r="ALI4" s="79"/>
      <c r="ALJ4" s="80"/>
      <c r="ALK4" s="80"/>
      <c r="ALL4" s="80"/>
      <c r="ALM4" s="79"/>
      <c r="ALN4" s="80"/>
      <c r="ALO4" s="80"/>
      <c r="ALP4" s="80"/>
      <c r="ALQ4" s="79"/>
      <c r="ALR4" s="80"/>
      <c r="ALS4" s="80"/>
      <c r="ALT4" s="80"/>
      <c r="ALU4" s="79"/>
      <c r="ALV4" s="80"/>
      <c r="ALW4" s="80"/>
      <c r="ALX4" s="80"/>
      <c r="ALY4" s="79"/>
      <c r="ALZ4" s="80"/>
      <c r="AMA4" s="80"/>
      <c r="AMB4" s="80"/>
      <c r="AMC4" s="79"/>
      <c r="AMD4" s="80"/>
      <c r="AME4" s="80"/>
      <c r="AMF4" s="80"/>
      <c r="AMG4" s="79"/>
      <c r="AMH4" s="80"/>
      <c r="AMI4" s="80"/>
      <c r="AMJ4" s="80"/>
      <c r="AMK4" s="79"/>
      <c r="AML4" s="80"/>
      <c r="AMM4" s="80"/>
      <c r="AMN4" s="80"/>
      <c r="AMO4" s="79"/>
      <c r="AMP4" s="80"/>
      <c r="AMQ4" s="80"/>
      <c r="AMR4" s="80"/>
      <c r="AMS4" s="79"/>
      <c r="AMT4" s="80"/>
      <c r="AMU4" s="80"/>
      <c r="AMV4" s="80"/>
      <c r="AMW4" s="79"/>
      <c r="AMX4" s="80"/>
      <c r="AMY4" s="80"/>
      <c r="AMZ4" s="80"/>
      <c r="ANA4" s="79"/>
      <c r="ANB4" s="80"/>
      <c r="ANC4" s="80"/>
      <c r="AND4" s="80"/>
      <c r="ANE4" s="79"/>
      <c r="ANF4" s="80"/>
      <c r="ANG4" s="80"/>
      <c r="ANH4" s="80"/>
      <c r="ANI4" s="79"/>
      <c r="ANJ4" s="80"/>
      <c r="ANK4" s="80"/>
      <c r="ANL4" s="80"/>
      <c r="ANM4" s="79"/>
      <c r="ANN4" s="80"/>
      <c r="ANO4" s="80"/>
      <c r="ANP4" s="80"/>
      <c r="ANQ4" s="79"/>
      <c r="ANR4" s="80"/>
      <c r="ANS4" s="80"/>
      <c r="ANT4" s="80"/>
      <c r="ANU4" s="79"/>
      <c r="ANV4" s="80"/>
      <c r="ANW4" s="80"/>
      <c r="ANX4" s="80"/>
      <c r="ANY4" s="79"/>
      <c r="ANZ4" s="80"/>
      <c r="AOA4" s="80"/>
      <c r="AOB4" s="80"/>
      <c r="AOC4" s="79"/>
      <c r="AOD4" s="80"/>
      <c r="AOE4" s="80"/>
      <c r="AOF4" s="80"/>
      <c r="AOG4" s="79"/>
      <c r="AOH4" s="80"/>
      <c r="AOI4" s="80"/>
      <c r="AOJ4" s="80"/>
      <c r="AOK4" s="79"/>
      <c r="AOL4" s="80"/>
      <c r="AOM4" s="80"/>
      <c r="AON4" s="80"/>
      <c r="AOO4" s="79"/>
      <c r="AOP4" s="80"/>
      <c r="AOQ4" s="80"/>
      <c r="AOR4" s="80"/>
      <c r="AOS4" s="79"/>
      <c r="AOT4" s="80"/>
      <c r="AOU4" s="80"/>
      <c r="AOV4" s="80"/>
      <c r="AOW4" s="79"/>
      <c r="AOX4" s="80"/>
      <c r="AOY4" s="80"/>
      <c r="AOZ4" s="80"/>
      <c r="APA4" s="79"/>
      <c r="APB4" s="80"/>
      <c r="APC4" s="80"/>
      <c r="APD4" s="80"/>
      <c r="APE4" s="79"/>
      <c r="APF4" s="80"/>
      <c r="APG4" s="80"/>
      <c r="APH4" s="80"/>
      <c r="API4" s="79"/>
      <c r="APJ4" s="80"/>
      <c r="APK4" s="80"/>
      <c r="APL4" s="80"/>
      <c r="APM4" s="79"/>
      <c r="APN4" s="80"/>
      <c r="APO4" s="80"/>
      <c r="APP4" s="80"/>
      <c r="APQ4" s="79"/>
      <c r="APR4" s="80"/>
      <c r="APS4" s="80"/>
      <c r="APT4" s="80"/>
      <c r="APU4" s="79"/>
      <c r="APV4" s="80"/>
      <c r="APW4" s="80"/>
      <c r="APX4" s="80"/>
      <c r="APY4" s="79"/>
      <c r="APZ4" s="80"/>
      <c r="AQA4" s="80"/>
      <c r="AQB4" s="80"/>
      <c r="AQC4" s="79"/>
      <c r="AQD4" s="80"/>
      <c r="AQE4" s="80"/>
      <c r="AQF4" s="80"/>
      <c r="AQG4" s="79"/>
      <c r="AQH4" s="80"/>
      <c r="AQI4" s="80"/>
      <c r="AQJ4" s="80"/>
      <c r="AQK4" s="79"/>
      <c r="AQL4" s="80"/>
      <c r="AQM4" s="80"/>
      <c r="AQN4" s="80"/>
      <c r="AQO4" s="79"/>
      <c r="AQP4" s="80"/>
      <c r="AQQ4" s="80"/>
      <c r="AQR4" s="80"/>
      <c r="AQS4" s="79"/>
      <c r="AQT4" s="80"/>
      <c r="AQU4" s="80"/>
      <c r="AQV4" s="80"/>
      <c r="AQW4" s="79"/>
      <c r="AQX4" s="80"/>
      <c r="AQY4" s="80"/>
      <c r="AQZ4" s="80"/>
      <c r="ARA4" s="79"/>
      <c r="ARB4" s="80"/>
      <c r="ARC4" s="80"/>
      <c r="ARD4" s="80"/>
      <c r="ARE4" s="79"/>
      <c r="ARF4" s="80"/>
      <c r="ARG4" s="80"/>
      <c r="ARH4" s="80"/>
      <c r="ARI4" s="79"/>
      <c r="ARJ4" s="80"/>
      <c r="ARK4" s="80"/>
      <c r="ARL4" s="80"/>
      <c r="ARM4" s="79"/>
      <c r="ARN4" s="80"/>
      <c r="ARO4" s="80"/>
      <c r="ARP4" s="80"/>
      <c r="ARQ4" s="79"/>
      <c r="ARR4" s="80"/>
      <c r="ARS4" s="80"/>
      <c r="ART4" s="80"/>
      <c r="ARU4" s="79"/>
      <c r="ARV4" s="80"/>
      <c r="ARW4" s="80"/>
      <c r="ARX4" s="80"/>
      <c r="ARY4" s="79"/>
      <c r="ARZ4" s="80"/>
      <c r="ASA4" s="80"/>
      <c r="ASB4" s="80"/>
      <c r="ASC4" s="79"/>
      <c r="ASD4" s="80"/>
      <c r="ASE4" s="80"/>
      <c r="ASF4" s="80"/>
      <c r="ASG4" s="79"/>
      <c r="ASH4" s="80"/>
      <c r="ASI4" s="80"/>
      <c r="ASJ4" s="80"/>
      <c r="ASK4" s="79"/>
      <c r="ASL4" s="80"/>
      <c r="ASM4" s="80"/>
      <c r="ASN4" s="80"/>
      <c r="ASO4" s="79"/>
      <c r="ASP4" s="80"/>
      <c r="ASQ4" s="80"/>
      <c r="ASR4" s="80"/>
      <c r="ASS4" s="79"/>
      <c r="AST4" s="80"/>
      <c r="ASU4" s="80"/>
      <c r="ASV4" s="80"/>
      <c r="ASW4" s="79"/>
      <c r="ASX4" s="80"/>
      <c r="ASY4" s="80"/>
      <c r="ASZ4" s="80"/>
      <c r="ATA4" s="79"/>
      <c r="ATB4" s="80"/>
      <c r="ATC4" s="80"/>
      <c r="ATD4" s="80"/>
      <c r="ATE4" s="79"/>
      <c r="ATF4" s="80"/>
      <c r="ATG4" s="80"/>
      <c r="ATH4" s="80"/>
      <c r="ATI4" s="79"/>
      <c r="ATJ4" s="80"/>
      <c r="ATK4" s="80"/>
      <c r="ATL4" s="80"/>
      <c r="ATM4" s="79"/>
      <c r="ATN4" s="80"/>
      <c r="ATO4" s="80"/>
      <c r="ATP4" s="80"/>
      <c r="ATQ4" s="79"/>
      <c r="ATR4" s="80"/>
      <c r="ATS4" s="80"/>
      <c r="ATT4" s="80"/>
      <c r="ATU4" s="79"/>
      <c r="ATV4" s="80"/>
      <c r="ATW4" s="80"/>
      <c r="ATX4" s="80"/>
      <c r="ATY4" s="79"/>
      <c r="ATZ4" s="80"/>
      <c r="AUA4" s="80"/>
      <c r="AUB4" s="80"/>
      <c r="AUC4" s="79"/>
      <c r="AUD4" s="80"/>
      <c r="AUE4" s="80"/>
      <c r="AUF4" s="80"/>
      <c r="AUG4" s="79"/>
      <c r="AUH4" s="80"/>
      <c r="AUI4" s="80"/>
      <c r="AUJ4" s="80"/>
      <c r="AUK4" s="79"/>
      <c r="AUL4" s="80"/>
      <c r="AUM4" s="80"/>
      <c r="AUN4" s="80"/>
      <c r="AUO4" s="79"/>
      <c r="AUP4" s="80"/>
      <c r="AUQ4" s="80"/>
      <c r="AUR4" s="80"/>
      <c r="AUS4" s="79"/>
      <c r="AUT4" s="80"/>
      <c r="AUU4" s="80"/>
      <c r="AUV4" s="80"/>
      <c r="AUW4" s="79"/>
      <c r="AUX4" s="80"/>
      <c r="AUY4" s="80"/>
      <c r="AUZ4" s="80"/>
      <c r="AVA4" s="79"/>
      <c r="AVB4" s="80"/>
      <c r="AVC4" s="80"/>
      <c r="AVD4" s="80"/>
      <c r="AVE4" s="79"/>
      <c r="AVF4" s="80"/>
      <c r="AVG4" s="80"/>
      <c r="AVH4" s="80"/>
      <c r="AVI4" s="79"/>
      <c r="AVJ4" s="80"/>
      <c r="AVK4" s="80"/>
      <c r="AVL4" s="80"/>
      <c r="AVM4" s="79"/>
      <c r="AVN4" s="80"/>
      <c r="AVO4" s="80"/>
      <c r="AVP4" s="80"/>
      <c r="AVQ4" s="79"/>
      <c r="AVR4" s="80"/>
      <c r="AVS4" s="80"/>
      <c r="AVT4" s="80"/>
      <c r="AVU4" s="79"/>
      <c r="AVV4" s="80"/>
      <c r="AVW4" s="80"/>
      <c r="AVX4" s="80"/>
      <c r="AVY4" s="79"/>
      <c r="AVZ4" s="80"/>
      <c r="AWA4" s="80"/>
      <c r="AWB4" s="80"/>
      <c r="AWC4" s="79"/>
      <c r="AWD4" s="80"/>
      <c r="AWE4" s="80"/>
      <c r="AWF4" s="80"/>
      <c r="AWG4" s="79"/>
      <c r="AWH4" s="80"/>
      <c r="AWI4" s="80"/>
      <c r="AWJ4" s="80"/>
      <c r="AWK4" s="79"/>
      <c r="AWL4" s="80"/>
      <c r="AWM4" s="80"/>
      <c r="AWN4" s="80"/>
      <c r="AWO4" s="79"/>
      <c r="AWP4" s="80"/>
      <c r="AWQ4" s="80"/>
      <c r="AWR4" s="80"/>
      <c r="AWS4" s="79"/>
      <c r="AWT4" s="80"/>
      <c r="AWU4" s="80"/>
      <c r="AWV4" s="80"/>
      <c r="AWW4" s="79"/>
      <c r="AWX4" s="80"/>
      <c r="AWY4" s="80"/>
      <c r="AWZ4" s="80"/>
      <c r="AXA4" s="79"/>
      <c r="AXB4" s="80"/>
      <c r="AXC4" s="80"/>
      <c r="AXD4" s="80"/>
      <c r="AXE4" s="79"/>
      <c r="AXF4" s="80"/>
      <c r="AXG4" s="80"/>
      <c r="AXH4" s="80"/>
      <c r="AXI4" s="79"/>
      <c r="AXJ4" s="80"/>
      <c r="AXK4" s="80"/>
      <c r="AXL4" s="80"/>
      <c r="AXM4" s="79"/>
      <c r="AXN4" s="80"/>
      <c r="AXO4" s="80"/>
      <c r="AXP4" s="80"/>
      <c r="AXQ4" s="79"/>
      <c r="AXR4" s="80"/>
      <c r="AXS4" s="80"/>
      <c r="AXT4" s="80"/>
      <c r="AXU4" s="79"/>
      <c r="AXV4" s="80"/>
      <c r="AXW4" s="80"/>
      <c r="AXX4" s="80"/>
      <c r="AXY4" s="79"/>
      <c r="AXZ4" s="80"/>
      <c r="AYA4" s="80"/>
      <c r="AYB4" s="80"/>
      <c r="AYC4" s="79"/>
      <c r="AYD4" s="80"/>
      <c r="AYE4" s="80"/>
      <c r="AYF4" s="80"/>
      <c r="AYG4" s="79"/>
      <c r="AYH4" s="80"/>
      <c r="AYI4" s="80"/>
      <c r="AYJ4" s="80"/>
      <c r="AYK4" s="79"/>
      <c r="AYL4" s="80"/>
      <c r="AYM4" s="80"/>
      <c r="AYN4" s="80"/>
      <c r="AYO4" s="79"/>
      <c r="AYP4" s="80"/>
      <c r="AYQ4" s="80"/>
      <c r="AYR4" s="80"/>
      <c r="AYS4" s="79"/>
      <c r="AYT4" s="80"/>
      <c r="AYU4" s="80"/>
      <c r="AYV4" s="80"/>
      <c r="AYW4" s="79"/>
      <c r="AYX4" s="80"/>
      <c r="AYY4" s="80"/>
      <c r="AYZ4" s="80"/>
      <c r="AZA4" s="79"/>
      <c r="AZB4" s="80"/>
      <c r="AZC4" s="80"/>
      <c r="AZD4" s="80"/>
      <c r="AZE4" s="79"/>
      <c r="AZF4" s="80"/>
      <c r="AZG4" s="80"/>
      <c r="AZH4" s="80"/>
      <c r="AZI4" s="79"/>
      <c r="AZJ4" s="80"/>
      <c r="AZK4" s="80"/>
      <c r="AZL4" s="80"/>
      <c r="AZM4" s="79"/>
      <c r="AZN4" s="80"/>
      <c r="AZO4" s="80"/>
      <c r="AZP4" s="80"/>
      <c r="AZQ4" s="79"/>
      <c r="AZR4" s="80"/>
      <c r="AZS4" s="80"/>
      <c r="AZT4" s="80"/>
      <c r="AZU4" s="79"/>
      <c r="AZV4" s="80"/>
      <c r="AZW4" s="80"/>
      <c r="AZX4" s="80"/>
      <c r="AZY4" s="79"/>
      <c r="AZZ4" s="80"/>
      <c r="BAA4" s="80"/>
      <c r="BAB4" s="80"/>
      <c r="BAC4" s="79"/>
      <c r="BAD4" s="80"/>
      <c r="BAE4" s="80"/>
      <c r="BAF4" s="80"/>
      <c r="BAG4" s="79"/>
      <c r="BAH4" s="80"/>
      <c r="BAI4" s="80"/>
      <c r="BAJ4" s="80"/>
      <c r="BAK4" s="79"/>
      <c r="BAL4" s="80"/>
      <c r="BAM4" s="80"/>
      <c r="BAN4" s="80"/>
      <c r="BAO4" s="79"/>
      <c r="BAP4" s="80"/>
      <c r="BAQ4" s="80"/>
      <c r="BAR4" s="80"/>
      <c r="BAS4" s="79"/>
      <c r="BAT4" s="80"/>
      <c r="BAU4" s="80"/>
      <c r="BAV4" s="80"/>
      <c r="BAW4" s="79"/>
      <c r="BAX4" s="80"/>
      <c r="BAY4" s="80"/>
      <c r="BAZ4" s="80"/>
      <c r="BBA4" s="79"/>
      <c r="BBB4" s="80"/>
      <c r="BBC4" s="80"/>
      <c r="BBD4" s="80"/>
      <c r="BBE4" s="79"/>
      <c r="BBF4" s="80"/>
      <c r="BBG4" s="80"/>
      <c r="BBH4" s="80"/>
      <c r="BBI4" s="79"/>
      <c r="BBJ4" s="80"/>
      <c r="BBK4" s="80"/>
      <c r="BBL4" s="80"/>
      <c r="BBM4" s="79"/>
      <c r="BBN4" s="80"/>
      <c r="BBO4" s="80"/>
      <c r="BBP4" s="80"/>
      <c r="BBQ4" s="79"/>
      <c r="BBR4" s="80"/>
      <c r="BBS4" s="80"/>
      <c r="BBT4" s="80"/>
      <c r="BBU4" s="79"/>
      <c r="BBV4" s="80"/>
      <c r="BBW4" s="80"/>
      <c r="BBX4" s="80"/>
      <c r="BBY4" s="79"/>
      <c r="BBZ4" s="80"/>
      <c r="BCA4" s="80"/>
      <c r="BCB4" s="80"/>
      <c r="BCC4" s="79"/>
      <c r="BCD4" s="80"/>
      <c r="BCE4" s="80"/>
      <c r="BCF4" s="80"/>
      <c r="BCG4" s="79"/>
      <c r="BCH4" s="80"/>
      <c r="BCI4" s="80"/>
      <c r="BCJ4" s="80"/>
      <c r="BCK4" s="79"/>
      <c r="BCL4" s="80"/>
      <c r="BCM4" s="80"/>
      <c r="BCN4" s="80"/>
      <c r="BCO4" s="79"/>
      <c r="BCP4" s="80"/>
      <c r="BCQ4" s="80"/>
      <c r="BCR4" s="80"/>
      <c r="BCS4" s="79"/>
      <c r="BCT4" s="80"/>
      <c r="BCU4" s="80"/>
      <c r="BCV4" s="80"/>
      <c r="BCW4" s="79"/>
      <c r="BCX4" s="80"/>
      <c r="BCY4" s="80"/>
      <c r="BCZ4" s="80"/>
      <c r="BDA4" s="79"/>
      <c r="BDB4" s="80"/>
      <c r="BDC4" s="80"/>
      <c r="BDD4" s="80"/>
      <c r="BDE4" s="79"/>
      <c r="BDF4" s="80"/>
      <c r="BDG4" s="80"/>
      <c r="BDH4" s="80"/>
      <c r="BDI4" s="79"/>
      <c r="BDJ4" s="80"/>
      <c r="BDK4" s="80"/>
      <c r="BDL4" s="80"/>
      <c r="BDM4" s="79"/>
      <c r="BDN4" s="80"/>
      <c r="BDO4" s="80"/>
      <c r="BDP4" s="80"/>
      <c r="BDQ4" s="79"/>
      <c r="BDR4" s="80"/>
      <c r="BDS4" s="80"/>
      <c r="BDT4" s="80"/>
      <c r="BDU4" s="79"/>
      <c r="BDV4" s="80"/>
      <c r="BDW4" s="80"/>
      <c r="BDX4" s="80"/>
      <c r="BDY4" s="79"/>
      <c r="BDZ4" s="80"/>
      <c r="BEA4" s="80"/>
      <c r="BEB4" s="80"/>
      <c r="BEC4" s="79"/>
      <c r="BED4" s="80"/>
      <c r="BEE4" s="80"/>
      <c r="BEF4" s="80"/>
      <c r="BEG4" s="79"/>
      <c r="BEH4" s="80"/>
      <c r="BEI4" s="80"/>
      <c r="BEJ4" s="80"/>
      <c r="BEK4" s="79"/>
      <c r="BEL4" s="80"/>
      <c r="BEM4" s="80"/>
      <c r="BEN4" s="80"/>
      <c r="BEO4" s="79"/>
      <c r="BEP4" s="80"/>
      <c r="BEQ4" s="80"/>
      <c r="BER4" s="80"/>
      <c r="BES4" s="79"/>
      <c r="BET4" s="80"/>
      <c r="BEU4" s="80"/>
      <c r="BEV4" s="80"/>
      <c r="BEW4" s="79"/>
      <c r="BEX4" s="80"/>
      <c r="BEY4" s="80"/>
      <c r="BEZ4" s="80"/>
      <c r="BFA4" s="79"/>
      <c r="BFB4" s="80"/>
      <c r="BFC4" s="80"/>
      <c r="BFD4" s="80"/>
      <c r="BFE4" s="79"/>
      <c r="BFF4" s="80"/>
      <c r="BFG4" s="80"/>
      <c r="BFH4" s="80"/>
      <c r="BFI4" s="79"/>
      <c r="BFJ4" s="80"/>
      <c r="BFK4" s="80"/>
      <c r="BFL4" s="80"/>
      <c r="BFM4" s="79"/>
      <c r="BFN4" s="80"/>
      <c r="BFO4" s="80"/>
      <c r="BFP4" s="80"/>
      <c r="BFQ4" s="79"/>
      <c r="BFR4" s="80"/>
      <c r="BFS4" s="80"/>
      <c r="BFT4" s="80"/>
      <c r="BFU4" s="79"/>
      <c r="BFV4" s="80"/>
      <c r="BFW4" s="80"/>
      <c r="BFX4" s="80"/>
      <c r="BFY4" s="79"/>
      <c r="BFZ4" s="80"/>
      <c r="BGA4" s="80"/>
      <c r="BGB4" s="80"/>
      <c r="BGC4" s="79"/>
      <c r="BGD4" s="80"/>
      <c r="BGE4" s="80"/>
      <c r="BGF4" s="80"/>
      <c r="BGG4" s="79"/>
      <c r="BGH4" s="80"/>
      <c r="BGI4" s="80"/>
      <c r="BGJ4" s="80"/>
      <c r="BGK4" s="79"/>
      <c r="BGL4" s="80"/>
      <c r="BGM4" s="80"/>
      <c r="BGN4" s="80"/>
      <c r="BGO4" s="79"/>
      <c r="BGP4" s="80"/>
      <c r="BGQ4" s="80"/>
      <c r="BGR4" s="80"/>
      <c r="BGS4" s="79"/>
      <c r="BGT4" s="80"/>
      <c r="BGU4" s="80"/>
      <c r="BGV4" s="80"/>
      <c r="BGW4" s="79"/>
      <c r="BGX4" s="80"/>
      <c r="BGY4" s="80"/>
      <c r="BGZ4" s="80"/>
      <c r="BHA4" s="79"/>
      <c r="BHB4" s="80"/>
      <c r="BHC4" s="80"/>
      <c r="BHD4" s="80"/>
      <c r="BHE4" s="79"/>
      <c r="BHF4" s="80"/>
      <c r="BHG4" s="80"/>
      <c r="BHH4" s="80"/>
      <c r="BHI4" s="79"/>
      <c r="BHJ4" s="80"/>
      <c r="BHK4" s="80"/>
      <c r="BHL4" s="80"/>
      <c r="BHM4" s="79"/>
      <c r="BHN4" s="80"/>
      <c r="BHO4" s="80"/>
      <c r="BHP4" s="80"/>
      <c r="BHQ4" s="79"/>
      <c r="BHR4" s="80"/>
      <c r="BHS4" s="80"/>
      <c r="BHT4" s="80"/>
      <c r="BHU4" s="79"/>
      <c r="BHV4" s="80"/>
      <c r="BHW4" s="80"/>
      <c r="BHX4" s="80"/>
      <c r="BHY4" s="79"/>
      <c r="BHZ4" s="80"/>
      <c r="BIA4" s="80"/>
      <c r="BIB4" s="80"/>
      <c r="BIC4" s="79"/>
      <c r="BID4" s="80"/>
      <c r="BIE4" s="80"/>
      <c r="BIF4" s="80"/>
      <c r="BIG4" s="79"/>
      <c r="BIH4" s="80"/>
      <c r="BII4" s="80"/>
      <c r="BIJ4" s="80"/>
      <c r="BIK4" s="79"/>
      <c r="BIL4" s="80"/>
      <c r="BIM4" s="80"/>
      <c r="BIN4" s="80"/>
      <c r="BIO4" s="79"/>
      <c r="BIP4" s="80"/>
      <c r="BIQ4" s="80"/>
      <c r="BIR4" s="80"/>
      <c r="BIS4" s="79"/>
      <c r="BIT4" s="80"/>
      <c r="BIU4" s="80"/>
      <c r="BIV4" s="80"/>
      <c r="BIW4" s="79"/>
      <c r="BIX4" s="80"/>
      <c r="BIY4" s="80"/>
      <c r="BIZ4" s="80"/>
      <c r="BJA4" s="79"/>
      <c r="BJB4" s="80"/>
      <c r="BJC4" s="80"/>
      <c r="BJD4" s="80"/>
      <c r="BJE4" s="79"/>
      <c r="BJF4" s="80"/>
      <c r="BJG4" s="80"/>
      <c r="BJH4" s="80"/>
      <c r="BJI4" s="79"/>
      <c r="BJJ4" s="80"/>
      <c r="BJK4" s="80"/>
      <c r="BJL4" s="80"/>
      <c r="BJM4" s="79"/>
      <c r="BJN4" s="80"/>
      <c r="BJO4" s="80"/>
      <c r="BJP4" s="80"/>
      <c r="BJQ4" s="79"/>
      <c r="BJR4" s="80"/>
      <c r="BJS4" s="80"/>
      <c r="BJT4" s="80"/>
      <c r="BJU4" s="79"/>
      <c r="BJV4" s="80"/>
      <c r="BJW4" s="80"/>
      <c r="BJX4" s="80"/>
      <c r="BJY4" s="79"/>
      <c r="BJZ4" s="80"/>
      <c r="BKA4" s="80"/>
      <c r="BKB4" s="80"/>
      <c r="BKC4" s="79"/>
      <c r="BKD4" s="80"/>
      <c r="BKE4" s="80"/>
      <c r="BKF4" s="80"/>
      <c r="BKG4" s="79"/>
      <c r="BKH4" s="80"/>
      <c r="BKI4" s="80"/>
      <c r="BKJ4" s="80"/>
      <c r="BKK4" s="79"/>
      <c r="BKL4" s="80"/>
      <c r="BKM4" s="80"/>
      <c r="BKN4" s="80"/>
      <c r="BKO4" s="79"/>
      <c r="BKP4" s="80"/>
      <c r="BKQ4" s="80"/>
      <c r="BKR4" s="80"/>
      <c r="BKS4" s="79"/>
      <c r="BKT4" s="80"/>
      <c r="BKU4" s="80"/>
      <c r="BKV4" s="80"/>
      <c r="BKW4" s="79"/>
      <c r="BKX4" s="80"/>
      <c r="BKY4" s="80"/>
      <c r="BKZ4" s="80"/>
      <c r="BLA4" s="79"/>
      <c r="BLB4" s="80"/>
      <c r="BLC4" s="80"/>
      <c r="BLD4" s="80"/>
      <c r="BLE4" s="79"/>
      <c r="BLF4" s="80"/>
      <c r="BLG4" s="80"/>
      <c r="BLH4" s="80"/>
      <c r="BLI4" s="79"/>
      <c r="BLJ4" s="80"/>
      <c r="BLK4" s="80"/>
      <c r="BLL4" s="80"/>
      <c r="BLM4" s="79"/>
      <c r="BLN4" s="80"/>
      <c r="BLO4" s="80"/>
      <c r="BLP4" s="80"/>
      <c r="BLQ4" s="79"/>
      <c r="BLR4" s="80"/>
      <c r="BLS4" s="80"/>
      <c r="BLT4" s="80"/>
      <c r="BLU4" s="79"/>
      <c r="BLV4" s="80"/>
      <c r="BLW4" s="80"/>
      <c r="BLX4" s="80"/>
      <c r="BLY4" s="79"/>
      <c r="BLZ4" s="80"/>
      <c r="BMA4" s="80"/>
      <c r="BMB4" s="80"/>
      <c r="BMC4" s="79"/>
      <c r="BMD4" s="80"/>
      <c r="BME4" s="80"/>
      <c r="BMF4" s="80"/>
      <c r="BMG4" s="79"/>
      <c r="BMH4" s="80"/>
      <c r="BMI4" s="80"/>
      <c r="BMJ4" s="80"/>
      <c r="BMK4" s="79"/>
      <c r="BML4" s="80"/>
      <c r="BMM4" s="80"/>
      <c r="BMN4" s="80"/>
      <c r="BMO4" s="79"/>
      <c r="BMP4" s="80"/>
      <c r="BMQ4" s="80"/>
      <c r="BMR4" s="80"/>
      <c r="BMS4" s="79"/>
      <c r="BMT4" s="80"/>
      <c r="BMU4" s="80"/>
      <c r="BMV4" s="80"/>
      <c r="BMW4" s="79"/>
      <c r="BMX4" s="80"/>
      <c r="BMY4" s="80"/>
      <c r="BMZ4" s="80"/>
      <c r="BNA4" s="79"/>
      <c r="BNB4" s="80"/>
      <c r="BNC4" s="80"/>
      <c r="BND4" s="80"/>
      <c r="BNE4" s="79"/>
      <c r="BNF4" s="80"/>
      <c r="BNG4" s="80"/>
      <c r="BNH4" s="80"/>
      <c r="BNI4" s="79"/>
      <c r="BNJ4" s="80"/>
      <c r="BNK4" s="80"/>
      <c r="BNL4" s="80"/>
      <c r="BNM4" s="79"/>
      <c r="BNN4" s="80"/>
      <c r="BNO4" s="80"/>
      <c r="BNP4" s="80"/>
      <c r="BNQ4" s="79"/>
      <c r="BNR4" s="80"/>
      <c r="BNS4" s="80"/>
      <c r="BNT4" s="80"/>
      <c r="BNU4" s="79"/>
      <c r="BNV4" s="80"/>
      <c r="BNW4" s="80"/>
      <c r="BNX4" s="80"/>
      <c r="BNY4" s="79"/>
      <c r="BNZ4" s="80"/>
      <c r="BOA4" s="80"/>
      <c r="BOB4" s="80"/>
      <c r="BOC4" s="79"/>
      <c r="BOD4" s="80"/>
      <c r="BOE4" s="80"/>
      <c r="BOF4" s="80"/>
      <c r="BOG4" s="79"/>
      <c r="BOH4" s="80"/>
      <c r="BOI4" s="80"/>
      <c r="BOJ4" s="80"/>
      <c r="BOK4" s="79"/>
      <c r="BOL4" s="80"/>
      <c r="BOM4" s="80"/>
      <c r="BON4" s="80"/>
      <c r="BOO4" s="79"/>
      <c r="BOP4" s="80"/>
      <c r="BOQ4" s="80"/>
      <c r="BOR4" s="80"/>
      <c r="BOS4" s="79"/>
      <c r="BOT4" s="80"/>
      <c r="BOU4" s="80"/>
      <c r="BOV4" s="80"/>
      <c r="BOW4" s="79"/>
      <c r="BOX4" s="80"/>
      <c r="BOY4" s="80"/>
      <c r="BOZ4" s="80"/>
      <c r="BPA4" s="79"/>
      <c r="BPB4" s="80"/>
      <c r="BPC4" s="80"/>
      <c r="BPD4" s="80"/>
      <c r="BPE4" s="79"/>
      <c r="BPF4" s="80"/>
      <c r="BPG4" s="80"/>
      <c r="BPH4" s="80"/>
      <c r="BPI4" s="79"/>
      <c r="BPJ4" s="80"/>
      <c r="BPK4" s="80"/>
      <c r="BPL4" s="80"/>
      <c r="BPM4" s="79"/>
      <c r="BPN4" s="80"/>
      <c r="BPO4" s="80"/>
      <c r="BPP4" s="80"/>
      <c r="BPQ4" s="79"/>
      <c r="BPR4" s="80"/>
      <c r="BPS4" s="80"/>
      <c r="BPT4" s="80"/>
      <c r="BPU4" s="79"/>
      <c r="BPV4" s="80"/>
      <c r="BPW4" s="80"/>
      <c r="BPX4" s="80"/>
      <c r="BPY4" s="79"/>
      <c r="BPZ4" s="80"/>
      <c r="BQA4" s="80"/>
      <c r="BQB4" s="80"/>
      <c r="BQC4" s="79"/>
      <c r="BQD4" s="80"/>
      <c r="BQE4" s="80"/>
      <c r="BQF4" s="80"/>
      <c r="BQG4" s="79"/>
      <c r="BQH4" s="80"/>
      <c r="BQI4" s="80"/>
      <c r="BQJ4" s="80"/>
      <c r="BQK4" s="79"/>
      <c r="BQL4" s="80"/>
      <c r="BQM4" s="80"/>
      <c r="BQN4" s="80"/>
      <c r="BQO4" s="79"/>
      <c r="BQP4" s="80"/>
      <c r="BQQ4" s="80"/>
      <c r="BQR4" s="80"/>
      <c r="BQS4" s="79"/>
      <c r="BQT4" s="80"/>
      <c r="BQU4" s="80"/>
      <c r="BQV4" s="80"/>
      <c r="BQW4" s="79"/>
      <c r="BQX4" s="80"/>
      <c r="BQY4" s="80"/>
      <c r="BQZ4" s="80"/>
      <c r="BRA4" s="79"/>
      <c r="BRB4" s="80"/>
      <c r="BRC4" s="80"/>
      <c r="BRD4" s="80"/>
      <c r="BRE4" s="79"/>
      <c r="BRF4" s="80"/>
      <c r="BRG4" s="80"/>
      <c r="BRH4" s="80"/>
      <c r="BRI4" s="79"/>
      <c r="BRJ4" s="80"/>
      <c r="BRK4" s="80"/>
      <c r="BRL4" s="80"/>
      <c r="BRM4" s="79"/>
      <c r="BRN4" s="80"/>
      <c r="BRO4" s="80"/>
      <c r="BRP4" s="80"/>
      <c r="BRQ4" s="79"/>
      <c r="BRR4" s="80"/>
      <c r="BRS4" s="80"/>
      <c r="BRT4" s="80"/>
      <c r="BRU4" s="79"/>
      <c r="BRV4" s="80"/>
      <c r="BRW4" s="80"/>
      <c r="BRX4" s="80"/>
      <c r="BRY4" s="79"/>
      <c r="BRZ4" s="80"/>
      <c r="BSA4" s="80"/>
      <c r="BSB4" s="80"/>
      <c r="BSC4" s="79"/>
      <c r="BSD4" s="80"/>
      <c r="BSE4" s="80"/>
      <c r="BSF4" s="80"/>
      <c r="BSG4" s="79"/>
      <c r="BSH4" s="80"/>
      <c r="BSI4" s="80"/>
      <c r="BSJ4" s="80"/>
      <c r="BSK4" s="79"/>
      <c r="BSL4" s="80"/>
      <c r="BSM4" s="80"/>
      <c r="BSN4" s="80"/>
      <c r="BSO4" s="79"/>
      <c r="BSP4" s="80"/>
      <c r="BSQ4" s="80"/>
      <c r="BSR4" s="80"/>
      <c r="BSS4" s="79"/>
      <c r="BST4" s="80"/>
      <c r="BSU4" s="80"/>
      <c r="BSV4" s="80"/>
      <c r="BSW4" s="79"/>
      <c r="BSX4" s="80"/>
      <c r="BSY4" s="80"/>
      <c r="BSZ4" s="80"/>
      <c r="BTA4" s="79"/>
      <c r="BTB4" s="80"/>
      <c r="BTC4" s="80"/>
      <c r="BTD4" s="80"/>
      <c r="BTE4" s="79"/>
      <c r="BTF4" s="80"/>
      <c r="BTG4" s="80"/>
      <c r="BTH4" s="80"/>
      <c r="BTI4" s="79"/>
      <c r="BTJ4" s="80"/>
      <c r="BTK4" s="80"/>
      <c r="BTL4" s="80"/>
      <c r="BTM4" s="79"/>
      <c r="BTN4" s="80"/>
      <c r="BTO4" s="80"/>
      <c r="BTP4" s="80"/>
      <c r="BTQ4" s="79"/>
      <c r="BTR4" s="80"/>
      <c r="BTS4" s="80"/>
      <c r="BTT4" s="80"/>
      <c r="BTU4" s="79"/>
      <c r="BTV4" s="80"/>
      <c r="BTW4" s="80"/>
      <c r="BTX4" s="80"/>
      <c r="BTY4" s="79"/>
      <c r="BTZ4" s="80"/>
      <c r="BUA4" s="80"/>
      <c r="BUB4" s="80"/>
      <c r="BUC4" s="79"/>
      <c r="BUD4" s="80"/>
      <c r="BUE4" s="80"/>
      <c r="BUF4" s="80"/>
      <c r="BUG4" s="79"/>
      <c r="BUH4" s="80"/>
      <c r="BUI4" s="80"/>
      <c r="BUJ4" s="80"/>
      <c r="BUK4" s="79"/>
      <c r="BUL4" s="80"/>
      <c r="BUM4" s="80"/>
      <c r="BUN4" s="80"/>
      <c r="BUO4" s="79"/>
      <c r="BUP4" s="80"/>
      <c r="BUQ4" s="80"/>
      <c r="BUR4" s="80"/>
      <c r="BUS4" s="79"/>
      <c r="BUT4" s="80"/>
      <c r="BUU4" s="80"/>
      <c r="BUV4" s="80"/>
      <c r="BUW4" s="79"/>
      <c r="BUX4" s="80"/>
      <c r="BUY4" s="80"/>
      <c r="BUZ4" s="80"/>
      <c r="BVA4" s="79"/>
      <c r="BVB4" s="80"/>
      <c r="BVC4" s="80"/>
      <c r="BVD4" s="80"/>
      <c r="BVE4" s="79"/>
      <c r="BVF4" s="80"/>
      <c r="BVG4" s="80"/>
      <c r="BVH4" s="80"/>
      <c r="BVI4" s="79"/>
      <c r="BVJ4" s="80"/>
      <c r="BVK4" s="80"/>
      <c r="BVL4" s="80"/>
      <c r="BVM4" s="79"/>
      <c r="BVN4" s="80"/>
      <c r="BVO4" s="80"/>
      <c r="BVP4" s="80"/>
      <c r="BVQ4" s="79"/>
      <c r="BVR4" s="80"/>
      <c r="BVS4" s="80"/>
      <c r="BVT4" s="80"/>
      <c r="BVU4" s="79"/>
      <c r="BVV4" s="80"/>
      <c r="BVW4" s="80"/>
      <c r="BVX4" s="80"/>
      <c r="BVY4" s="79"/>
      <c r="BVZ4" s="80"/>
      <c r="BWA4" s="80"/>
      <c r="BWB4" s="80"/>
      <c r="BWC4" s="79"/>
      <c r="BWD4" s="80"/>
      <c r="BWE4" s="80"/>
      <c r="BWF4" s="80"/>
      <c r="BWG4" s="79"/>
      <c r="BWH4" s="80"/>
      <c r="BWI4" s="80"/>
      <c r="BWJ4" s="80"/>
      <c r="BWK4" s="79"/>
      <c r="BWL4" s="80"/>
      <c r="BWM4" s="80"/>
      <c r="BWN4" s="80"/>
      <c r="BWO4" s="79"/>
      <c r="BWP4" s="80"/>
      <c r="BWQ4" s="80"/>
      <c r="BWR4" s="80"/>
      <c r="BWS4" s="79"/>
      <c r="BWT4" s="80"/>
      <c r="BWU4" s="80"/>
      <c r="BWV4" s="80"/>
      <c r="BWW4" s="79"/>
      <c r="BWX4" s="80"/>
      <c r="BWY4" s="80"/>
      <c r="BWZ4" s="80"/>
      <c r="BXA4" s="79"/>
      <c r="BXB4" s="80"/>
      <c r="BXC4" s="80"/>
      <c r="BXD4" s="80"/>
      <c r="BXE4" s="79"/>
      <c r="BXF4" s="80"/>
      <c r="BXG4" s="80"/>
      <c r="BXH4" s="80"/>
      <c r="BXI4" s="79"/>
      <c r="BXJ4" s="80"/>
      <c r="BXK4" s="80"/>
      <c r="BXL4" s="80"/>
      <c r="BXM4" s="79"/>
      <c r="BXN4" s="80"/>
      <c r="BXO4" s="80"/>
      <c r="BXP4" s="80"/>
      <c r="BXQ4" s="79"/>
      <c r="BXR4" s="80"/>
      <c r="BXS4" s="80"/>
      <c r="BXT4" s="80"/>
      <c r="BXU4" s="79"/>
      <c r="BXV4" s="80"/>
      <c r="BXW4" s="80"/>
      <c r="BXX4" s="80"/>
      <c r="BXY4" s="79"/>
      <c r="BXZ4" s="80"/>
      <c r="BYA4" s="80"/>
      <c r="BYB4" s="80"/>
      <c r="BYC4" s="79"/>
      <c r="BYD4" s="80"/>
      <c r="BYE4" s="80"/>
      <c r="BYF4" s="80"/>
      <c r="BYG4" s="79"/>
      <c r="BYH4" s="80"/>
      <c r="BYI4" s="80"/>
      <c r="BYJ4" s="80"/>
      <c r="BYK4" s="79"/>
      <c r="BYL4" s="80"/>
      <c r="BYM4" s="80"/>
      <c r="BYN4" s="80"/>
      <c r="BYO4" s="79"/>
      <c r="BYP4" s="80"/>
      <c r="BYQ4" s="80"/>
      <c r="BYR4" s="80"/>
      <c r="BYS4" s="79"/>
      <c r="BYT4" s="80"/>
      <c r="BYU4" s="80"/>
      <c r="BYV4" s="80"/>
      <c r="BYW4" s="79"/>
      <c r="BYX4" s="80"/>
      <c r="BYY4" s="80"/>
      <c r="BYZ4" s="80"/>
      <c r="BZA4" s="79"/>
      <c r="BZB4" s="80"/>
      <c r="BZC4" s="80"/>
      <c r="BZD4" s="80"/>
      <c r="BZE4" s="79"/>
      <c r="BZF4" s="80"/>
      <c r="BZG4" s="80"/>
      <c r="BZH4" s="80"/>
      <c r="BZI4" s="79"/>
      <c r="BZJ4" s="80"/>
      <c r="BZK4" s="80"/>
      <c r="BZL4" s="80"/>
      <c r="BZM4" s="79"/>
      <c r="BZN4" s="80"/>
      <c r="BZO4" s="80"/>
      <c r="BZP4" s="80"/>
      <c r="BZQ4" s="79"/>
      <c r="BZR4" s="80"/>
      <c r="BZS4" s="80"/>
      <c r="BZT4" s="80"/>
      <c r="BZU4" s="79"/>
      <c r="BZV4" s="80"/>
      <c r="BZW4" s="80"/>
      <c r="BZX4" s="80"/>
      <c r="BZY4" s="79"/>
      <c r="BZZ4" s="80"/>
      <c r="CAA4" s="80"/>
      <c r="CAB4" s="80"/>
      <c r="CAC4" s="79"/>
      <c r="CAD4" s="80"/>
      <c r="CAE4" s="80"/>
      <c r="CAF4" s="80"/>
      <c r="CAG4" s="79"/>
      <c r="CAH4" s="80"/>
      <c r="CAI4" s="80"/>
      <c r="CAJ4" s="80"/>
      <c r="CAK4" s="79"/>
      <c r="CAL4" s="80"/>
      <c r="CAM4" s="80"/>
      <c r="CAN4" s="80"/>
      <c r="CAO4" s="79"/>
      <c r="CAP4" s="80"/>
      <c r="CAQ4" s="80"/>
      <c r="CAR4" s="80"/>
      <c r="CAS4" s="79"/>
      <c r="CAT4" s="80"/>
      <c r="CAU4" s="80"/>
      <c r="CAV4" s="80"/>
      <c r="CAW4" s="79"/>
      <c r="CAX4" s="80"/>
      <c r="CAY4" s="80"/>
      <c r="CAZ4" s="80"/>
      <c r="CBA4" s="79"/>
      <c r="CBB4" s="80"/>
      <c r="CBC4" s="80"/>
      <c r="CBD4" s="80"/>
      <c r="CBE4" s="79"/>
      <c r="CBF4" s="80"/>
      <c r="CBG4" s="80"/>
      <c r="CBH4" s="80"/>
      <c r="CBI4" s="79"/>
      <c r="CBJ4" s="80"/>
      <c r="CBK4" s="80"/>
      <c r="CBL4" s="80"/>
      <c r="CBM4" s="79"/>
      <c r="CBN4" s="80"/>
      <c r="CBO4" s="80"/>
      <c r="CBP4" s="80"/>
      <c r="CBQ4" s="79"/>
      <c r="CBR4" s="80"/>
      <c r="CBS4" s="80"/>
      <c r="CBT4" s="80"/>
      <c r="CBU4" s="79"/>
      <c r="CBV4" s="80"/>
      <c r="CBW4" s="80"/>
      <c r="CBX4" s="80"/>
      <c r="CBY4" s="79"/>
      <c r="CBZ4" s="80"/>
      <c r="CCA4" s="80"/>
      <c r="CCB4" s="80"/>
      <c r="CCC4" s="79"/>
      <c r="CCD4" s="80"/>
      <c r="CCE4" s="80"/>
      <c r="CCF4" s="80"/>
      <c r="CCG4" s="79"/>
      <c r="CCH4" s="80"/>
      <c r="CCI4" s="80"/>
      <c r="CCJ4" s="80"/>
      <c r="CCK4" s="79"/>
      <c r="CCL4" s="80"/>
      <c r="CCM4" s="80"/>
      <c r="CCN4" s="80"/>
      <c r="CCO4" s="79"/>
      <c r="CCP4" s="80"/>
      <c r="CCQ4" s="80"/>
      <c r="CCR4" s="80"/>
      <c r="CCS4" s="79"/>
      <c r="CCT4" s="80"/>
      <c r="CCU4" s="80"/>
      <c r="CCV4" s="80"/>
      <c r="CCW4" s="79"/>
      <c r="CCX4" s="80"/>
      <c r="CCY4" s="80"/>
      <c r="CCZ4" s="80"/>
      <c r="CDA4" s="79"/>
      <c r="CDB4" s="80"/>
      <c r="CDC4" s="80"/>
      <c r="CDD4" s="80"/>
      <c r="CDE4" s="79"/>
      <c r="CDF4" s="80"/>
      <c r="CDG4" s="80"/>
      <c r="CDH4" s="80"/>
      <c r="CDI4" s="79"/>
      <c r="CDJ4" s="80"/>
      <c r="CDK4" s="80"/>
      <c r="CDL4" s="80"/>
      <c r="CDM4" s="79"/>
      <c r="CDN4" s="80"/>
      <c r="CDO4" s="80"/>
      <c r="CDP4" s="80"/>
      <c r="CDQ4" s="79"/>
      <c r="CDR4" s="80"/>
      <c r="CDS4" s="80"/>
      <c r="CDT4" s="80"/>
      <c r="CDU4" s="79"/>
      <c r="CDV4" s="80"/>
      <c r="CDW4" s="80"/>
      <c r="CDX4" s="80"/>
      <c r="CDY4" s="79"/>
      <c r="CDZ4" s="80"/>
      <c r="CEA4" s="80"/>
      <c r="CEB4" s="80"/>
      <c r="CEC4" s="79"/>
      <c r="CED4" s="80"/>
      <c r="CEE4" s="80"/>
      <c r="CEF4" s="80"/>
      <c r="CEG4" s="79"/>
      <c r="CEH4" s="80"/>
      <c r="CEI4" s="80"/>
      <c r="CEJ4" s="80"/>
      <c r="CEK4" s="79"/>
      <c r="CEL4" s="80"/>
      <c r="CEM4" s="80"/>
      <c r="CEN4" s="80"/>
      <c r="CEO4" s="79"/>
      <c r="CEP4" s="80"/>
      <c r="CEQ4" s="80"/>
      <c r="CER4" s="80"/>
      <c r="CES4" s="79"/>
      <c r="CET4" s="80"/>
      <c r="CEU4" s="80"/>
      <c r="CEV4" s="80"/>
      <c r="CEW4" s="79"/>
      <c r="CEX4" s="80"/>
      <c r="CEY4" s="80"/>
      <c r="CEZ4" s="80"/>
      <c r="CFA4" s="79"/>
      <c r="CFB4" s="80"/>
      <c r="CFC4" s="80"/>
      <c r="CFD4" s="80"/>
      <c r="CFE4" s="79"/>
      <c r="CFF4" s="80"/>
      <c r="CFG4" s="80"/>
      <c r="CFH4" s="80"/>
      <c r="CFI4" s="79"/>
      <c r="CFJ4" s="80"/>
      <c r="CFK4" s="80"/>
      <c r="CFL4" s="80"/>
      <c r="CFM4" s="79"/>
      <c r="CFN4" s="80"/>
      <c r="CFO4" s="80"/>
      <c r="CFP4" s="80"/>
      <c r="CFQ4" s="79"/>
      <c r="CFR4" s="80"/>
      <c r="CFS4" s="80"/>
      <c r="CFT4" s="80"/>
      <c r="CFU4" s="79"/>
      <c r="CFV4" s="80"/>
      <c r="CFW4" s="80"/>
      <c r="CFX4" s="80"/>
      <c r="CFY4" s="79"/>
      <c r="CFZ4" s="80"/>
      <c r="CGA4" s="80"/>
      <c r="CGB4" s="80"/>
      <c r="CGC4" s="79"/>
      <c r="CGD4" s="80"/>
      <c r="CGE4" s="80"/>
      <c r="CGF4" s="80"/>
      <c r="CGG4" s="79"/>
      <c r="CGH4" s="80"/>
      <c r="CGI4" s="80"/>
      <c r="CGJ4" s="80"/>
      <c r="CGK4" s="79"/>
      <c r="CGL4" s="80"/>
      <c r="CGM4" s="80"/>
      <c r="CGN4" s="80"/>
      <c r="CGO4" s="79"/>
      <c r="CGP4" s="80"/>
      <c r="CGQ4" s="80"/>
      <c r="CGR4" s="80"/>
      <c r="CGS4" s="79"/>
      <c r="CGT4" s="80"/>
      <c r="CGU4" s="80"/>
      <c r="CGV4" s="80"/>
      <c r="CGW4" s="79"/>
      <c r="CGX4" s="80"/>
      <c r="CGY4" s="80"/>
      <c r="CGZ4" s="80"/>
      <c r="CHA4" s="79"/>
      <c r="CHB4" s="80"/>
      <c r="CHC4" s="80"/>
      <c r="CHD4" s="80"/>
      <c r="CHE4" s="79"/>
      <c r="CHF4" s="80"/>
      <c r="CHG4" s="80"/>
      <c r="CHH4" s="80"/>
      <c r="CHI4" s="79"/>
      <c r="CHJ4" s="80"/>
      <c r="CHK4" s="80"/>
      <c r="CHL4" s="80"/>
      <c r="CHM4" s="79"/>
      <c r="CHN4" s="80"/>
      <c r="CHO4" s="80"/>
      <c r="CHP4" s="80"/>
      <c r="CHQ4" s="79"/>
      <c r="CHR4" s="80"/>
      <c r="CHS4" s="80"/>
      <c r="CHT4" s="80"/>
      <c r="CHU4" s="79"/>
      <c r="CHV4" s="80"/>
      <c r="CHW4" s="80"/>
      <c r="CHX4" s="80"/>
      <c r="CHY4" s="79"/>
      <c r="CHZ4" s="80"/>
      <c r="CIA4" s="80"/>
      <c r="CIB4" s="80"/>
      <c r="CIC4" s="79"/>
      <c r="CID4" s="80"/>
      <c r="CIE4" s="80"/>
      <c r="CIF4" s="80"/>
      <c r="CIG4" s="79"/>
      <c r="CIH4" s="80"/>
      <c r="CII4" s="80"/>
      <c r="CIJ4" s="80"/>
      <c r="CIK4" s="79"/>
      <c r="CIL4" s="80"/>
      <c r="CIM4" s="80"/>
      <c r="CIN4" s="80"/>
      <c r="CIO4" s="79"/>
      <c r="CIP4" s="80"/>
      <c r="CIQ4" s="80"/>
      <c r="CIR4" s="80"/>
      <c r="CIS4" s="79"/>
      <c r="CIT4" s="80"/>
      <c r="CIU4" s="80"/>
      <c r="CIV4" s="80"/>
      <c r="CIW4" s="79"/>
      <c r="CIX4" s="80"/>
      <c r="CIY4" s="80"/>
      <c r="CIZ4" s="80"/>
      <c r="CJA4" s="79"/>
      <c r="CJB4" s="80"/>
      <c r="CJC4" s="80"/>
      <c r="CJD4" s="80"/>
      <c r="CJE4" s="79"/>
      <c r="CJF4" s="80"/>
      <c r="CJG4" s="80"/>
      <c r="CJH4" s="80"/>
      <c r="CJI4" s="79"/>
      <c r="CJJ4" s="80"/>
      <c r="CJK4" s="80"/>
      <c r="CJL4" s="80"/>
      <c r="CJM4" s="79"/>
      <c r="CJN4" s="80"/>
      <c r="CJO4" s="80"/>
      <c r="CJP4" s="80"/>
      <c r="CJQ4" s="79"/>
      <c r="CJR4" s="80"/>
      <c r="CJS4" s="80"/>
      <c r="CJT4" s="80"/>
      <c r="CJU4" s="79"/>
      <c r="CJV4" s="80"/>
      <c r="CJW4" s="80"/>
      <c r="CJX4" s="80"/>
      <c r="CJY4" s="79"/>
      <c r="CJZ4" s="80"/>
      <c r="CKA4" s="80"/>
      <c r="CKB4" s="80"/>
      <c r="CKC4" s="79"/>
      <c r="CKD4" s="80"/>
      <c r="CKE4" s="80"/>
      <c r="CKF4" s="80"/>
      <c r="CKG4" s="79"/>
      <c r="CKH4" s="80"/>
      <c r="CKI4" s="80"/>
      <c r="CKJ4" s="80"/>
      <c r="CKK4" s="79"/>
      <c r="CKL4" s="80"/>
      <c r="CKM4" s="80"/>
      <c r="CKN4" s="80"/>
      <c r="CKO4" s="79"/>
      <c r="CKP4" s="80"/>
      <c r="CKQ4" s="80"/>
      <c r="CKR4" s="80"/>
      <c r="CKS4" s="79"/>
      <c r="CKT4" s="80"/>
      <c r="CKU4" s="80"/>
      <c r="CKV4" s="80"/>
      <c r="CKW4" s="79"/>
      <c r="CKX4" s="80"/>
      <c r="CKY4" s="80"/>
      <c r="CKZ4" s="80"/>
      <c r="CLA4" s="79"/>
      <c r="CLB4" s="80"/>
      <c r="CLC4" s="80"/>
      <c r="CLD4" s="80"/>
      <c r="CLE4" s="79"/>
      <c r="CLF4" s="80"/>
      <c r="CLG4" s="80"/>
      <c r="CLH4" s="80"/>
      <c r="CLI4" s="79"/>
      <c r="CLJ4" s="80"/>
      <c r="CLK4" s="80"/>
      <c r="CLL4" s="80"/>
      <c r="CLM4" s="79"/>
      <c r="CLN4" s="80"/>
      <c r="CLO4" s="80"/>
      <c r="CLP4" s="80"/>
      <c r="CLQ4" s="79"/>
      <c r="CLR4" s="80"/>
      <c r="CLS4" s="80"/>
      <c r="CLT4" s="80"/>
      <c r="CLU4" s="79"/>
      <c r="CLV4" s="80"/>
      <c r="CLW4" s="80"/>
      <c r="CLX4" s="80"/>
      <c r="CLY4" s="79"/>
      <c r="CLZ4" s="80"/>
      <c r="CMA4" s="80"/>
      <c r="CMB4" s="80"/>
      <c r="CMC4" s="79"/>
      <c r="CMD4" s="80"/>
      <c r="CME4" s="80"/>
      <c r="CMF4" s="80"/>
      <c r="CMG4" s="79"/>
      <c r="CMH4" s="80"/>
      <c r="CMI4" s="80"/>
      <c r="CMJ4" s="80"/>
      <c r="CMK4" s="79"/>
      <c r="CML4" s="80"/>
      <c r="CMM4" s="80"/>
      <c r="CMN4" s="80"/>
      <c r="CMO4" s="79"/>
      <c r="CMP4" s="80"/>
      <c r="CMQ4" s="80"/>
      <c r="CMR4" s="80"/>
      <c r="CMS4" s="79"/>
      <c r="CMT4" s="80"/>
      <c r="CMU4" s="80"/>
      <c r="CMV4" s="80"/>
      <c r="CMW4" s="79"/>
      <c r="CMX4" s="80"/>
      <c r="CMY4" s="80"/>
      <c r="CMZ4" s="80"/>
      <c r="CNA4" s="79"/>
      <c r="CNB4" s="80"/>
      <c r="CNC4" s="80"/>
      <c r="CND4" s="80"/>
      <c r="CNE4" s="79"/>
      <c r="CNF4" s="80"/>
      <c r="CNG4" s="80"/>
      <c r="CNH4" s="80"/>
      <c r="CNI4" s="79"/>
      <c r="CNJ4" s="80"/>
      <c r="CNK4" s="80"/>
      <c r="CNL4" s="80"/>
      <c r="CNM4" s="79"/>
      <c r="CNN4" s="80"/>
      <c r="CNO4" s="80"/>
      <c r="CNP4" s="80"/>
      <c r="CNQ4" s="79"/>
      <c r="CNR4" s="80"/>
      <c r="CNS4" s="80"/>
      <c r="CNT4" s="80"/>
      <c r="CNU4" s="79"/>
      <c r="CNV4" s="80"/>
      <c r="CNW4" s="80"/>
      <c r="CNX4" s="80"/>
      <c r="CNY4" s="79"/>
      <c r="CNZ4" s="80"/>
      <c r="COA4" s="80"/>
      <c r="COB4" s="80"/>
      <c r="COC4" s="79"/>
      <c r="COD4" s="80"/>
      <c r="COE4" s="80"/>
      <c r="COF4" s="80"/>
      <c r="COG4" s="79"/>
      <c r="COH4" s="80"/>
      <c r="COI4" s="80"/>
      <c r="COJ4" s="80"/>
      <c r="COK4" s="79"/>
      <c r="COL4" s="80"/>
      <c r="COM4" s="80"/>
      <c r="CON4" s="80"/>
      <c r="COO4" s="79"/>
      <c r="COP4" s="80"/>
      <c r="COQ4" s="80"/>
      <c r="COR4" s="80"/>
      <c r="COS4" s="79"/>
      <c r="COT4" s="80"/>
      <c r="COU4" s="80"/>
      <c r="COV4" s="80"/>
      <c r="COW4" s="79"/>
      <c r="COX4" s="80"/>
      <c r="COY4" s="80"/>
      <c r="COZ4" s="80"/>
      <c r="CPA4" s="79"/>
      <c r="CPB4" s="80"/>
      <c r="CPC4" s="80"/>
      <c r="CPD4" s="80"/>
      <c r="CPE4" s="79"/>
      <c r="CPF4" s="80"/>
      <c r="CPG4" s="80"/>
      <c r="CPH4" s="80"/>
      <c r="CPI4" s="79"/>
      <c r="CPJ4" s="80"/>
      <c r="CPK4" s="80"/>
      <c r="CPL4" s="80"/>
      <c r="CPM4" s="79"/>
      <c r="CPN4" s="80"/>
      <c r="CPO4" s="80"/>
      <c r="CPP4" s="80"/>
      <c r="CPQ4" s="79"/>
      <c r="CPR4" s="80"/>
      <c r="CPS4" s="80"/>
      <c r="CPT4" s="80"/>
      <c r="CPU4" s="79"/>
      <c r="CPV4" s="80"/>
      <c r="CPW4" s="80"/>
      <c r="CPX4" s="80"/>
      <c r="CPY4" s="79"/>
      <c r="CPZ4" s="80"/>
      <c r="CQA4" s="80"/>
      <c r="CQB4" s="80"/>
      <c r="CQC4" s="79"/>
      <c r="CQD4" s="80"/>
      <c r="CQE4" s="80"/>
      <c r="CQF4" s="80"/>
      <c r="CQG4" s="79"/>
      <c r="CQH4" s="80"/>
      <c r="CQI4" s="80"/>
      <c r="CQJ4" s="80"/>
      <c r="CQK4" s="79"/>
      <c r="CQL4" s="80"/>
      <c r="CQM4" s="80"/>
      <c r="CQN4" s="80"/>
      <c r="CQO4" s="79"/>
      <c r="CQP4" s="80"/>
      <c r="CQQ4" s="80"/>
      <c r="CQR4" s="80"/>
      <c r="CQS4" s="79"/>
      <c r="CQT4" s="80"/>
      <c r="CQU4" s="80"/>
      <c r="CQV4" s="80"/>
      <c r="CQW4" s="79"/>
      <c r="CQX4" s="80"/>
      <c r="CQY4" s="80"/>
      <c r="CQZ4" s="80"/>
      <c r="CRA4" s="79"/>
      <c r="CRB4" s="80"/>
      <c r="CRC4" s="80"/>
      <c r="CRD4" s="80"/>
      <c r="CRE4" s="79"/>
      <c r="CRF4" s="80"/>
      <c r="CRG4" s="80"/>
      <c r="CRH4" s="80"/>
      <c r="CRI4" s="79"/>
      <c r="CRJ4" s="80"/>
      <c r="CRK4" s="80"/>
      <c r="CRL4" s="80"/>
      <c r="CRM4" s="79"/>
      <c r="CRN4" s="80"/>
      <c r="CRO4" s="80"/>
      <c r="CRP4" s="80"/>
      <c r="CRQ4" s="79"/>
      <c r="CRR4" s="80"/>
      <c r="CRS4" s="80"/>
      <c r="CRT4" s="80"/>
      <c r="CRU4" s="79"/>
      <c r="CRV4" s="80"/>
      <c r="CRW4" s="80"/>
      <c r="CRX4" s="80"/>
      <c r="CRY4" s="79"/>
      <c r="CRZ4" s="80"/>
      <c r="CSA4" s="80"/>
      <c r="CSB4" s="80"/>
      <c r="CSC4" s="79"/>
      <c r="CSD4" s="80"/>
      <c r="CSE4" s="80"/>
      <c r="CSF4" s="80"/>
      <c r="CSG4" s="79"/>
      <c r="CSH4" s="80"/>
      <c r="CSI4" s="80"/>
      <c r="CSJ4" s="80"/>
      <c r="CSK4" s="79"/>
      <c r="CSL4" s="80"/>
      <c r="CSM4" s="80"/>
      <c r="CSN4" s="80"/>
      <c r="CSO4" s="79"/>
      <c r="CSP4" s="80"/>
      <c r="CSQ4" s="80"/>
      <c r="CSR4" s="80"/>
      <c r="CSS4" s="79"/>
      <c r="CST4" s="80"/>
      <c r="CSU4" s="80"/>
      <c r="CSV4" s="80"/>
      <c r="CSW4" s="79"/>
      <c r="CSX4" s="80"/>
      <c r="CSY4" s="80"/>
      <c r="CSZ4" s="80"/>
      <c r="CTA4" s="79"/>
      <c r="CTB4" s="80"/>
      <c r="CTC4" s="80"/>
      <c r="CTD4" s="80"/>
      <c r="CTE4" s="79"/>
      <c r="CTF4" s="80"/>
      <c r="CTG4" s="80"/>
      <c r="CTH4" s="80"/>
      <c r="CTI4" s="79"/>
      <c r="CTJ4" s="80"/>
      <c r="CTK4" s="80"/>
      <c r="CTL4" s="80"/>
      <c r="CTM4" s="79"/>
      <c r="CTN4" s="80"/>
      <c r="CTO4" s="80"/>
      <c r="CTP4" s="80"/>
      <c r="CTQ4" s="79"/>
      <c r="CTR4" s="80"/>
      <c r="CTS4" s="80"/>
      <c r="CTT4" s="80"/>
      <c r="CTU4" s="79"/>
      <c r="CTV4" s="80"/>
      <c r="CTW4" s="80"/>
      <c r="CTX4" s="80"/>
      <c r="CTY4" s="79"/>
      <c r="CTZ4" s="80"/>
      <c r="CUA4" s="80"/>
      <c r="CUB4" s="80"/>
      <c r="CUC4" s="79"/>
      <c r="CUD4" s="80"/>
      <c r="CUE4" s="80"/>
      <c r="CUF4" s="80"/>
      <c r="CUG4" s="79"/>
      <c r="CUH4" s="80"/>
      <c r="CUI4" s="80"/>
      <c r="CUJ4" s="80"/>
      <c r="CUK4" s="79"/>
      <c r="CUL4" s="80"/>
      <c r="CUM4" s="80"/>
      <c r="CUN4" s="80"/>
      <c r="CUO4" s="79"/>
      <c r="CUP4" s="80"/>
      <c r="CUQ4" s="80"/>
      <c r="CUR4" s="80"/>
      <c r="CUS4" s="79"/>
      <c r="CUT4" s="80"/>
      <c r="CUU4" s="80"/>
      <c r="CUV4" s="80"/>
      <c r="CUW4" s="79"/>
      <c r="CUX4" s="80"/>
      <c r="CUY4" s="80"/>
      <c r="CUZ4" s="80"/>
      <c r="CVA4" s="79"/>
      <c r="CVB4" s="80"/>
      <c r="CVC4" s="80"/>
      <c r="CVD4" s="80"/>
      <c r="CVE4" s="79"/>
      <c r="CVF4" s="80"/>
      <c r="CVG4" s="80"/>
      <c r="CVH4" s="80"/>
      <c r="CVI4" s="79"/>
      <c r="CVJ4" s="80"/>
      <c r="CVK4" s="80"/>
      <c r="CVL4" s="80"/>
      <c r="CVM4" s="79"/>
      <c r="CVN4" s="80"/>
      <c r="CVO4" s="80"/>
      <c r="CVP4" s="80"/>
      <c r="CVQ4" s="79"/>
      <c r="CVR4" s="80"/>
      <c r="CVS4" s="80"/>
      <c r="CVT4" s="80"/>
      <c r="CVU4" s="79"/>
      <c r="CVV4" s="80"/>
      <c r="CVW4" s="80"/>
      <c r="CVX4" s="80"/>
      <c r="CVY4" s="79"/>
      <c r="CVZ4" s="80"/>
      <c r="CWA4" s="80"/>
      <c r="CWB4" s="80"/>
      <c r="CWC4" s="79"/>
      <c r="CWD4" s="80"/>
      <c r="CWE4" s="80"/>
      <c r="CWF4" s="80"/>
      <c r="CWG4" s="79"/>
      <c r="CWH4" s="80"/>
      <c r="CWI4" s="80"/>
      <c r="CWJ4" s="80"/>
      <c r="CWK4" s="79"/>
      <c r="CWL4" s="80"/>
      <c r="CWM4" s="80"/>
      <c r="CWN4" s="80"/>
      <c r="CWO4" s="79"/>
      <c r="CWP4" s="80"/>
      <c r="CWQ4" s="80"/>
      <c r="CWR4" s="80"/>
      <c r="CWS4" s="79"/>
      <c r="CWT4" s="80"/>
      <c r="CWU4" s="80"/>
      <c r="CWV4" s="80"/>
      <c r="CWW4" s="79"/>
      <c r="CWX4" s="80"/>
      <c r="CWY4" s="80"/>
      <c r="CWZ4" s="80"/>
      <c r="CXA4" s="79"/>
      <c r="CXB4" s="80"/>
      <c r="CXC4" s="80"/>
      <c r="CXD4" s="80"/>
      <c r="CXE4" s="79"/>
      <c r="CXF4" s="80"/>
      <c r="CXG4" s="80"/>
      <c r="CXH4" s="80"/>
      <c r="CXI4" s="79"/>
      <c r="CXJ4" s="80"/>
      <c r="CXK4" s="80"/>
      <c r="CXL4" s="80"/>
      <c r="CXM4" s="79"/>
      <c r="CXN4" s="80"/>
      <c r="CXO4" s="80"/>
      <c r="CXP4" s="80"/>
      <c r="CXQ4" s="79"/>
      <c r="CXR4" s="80"/>
      <c r="CXS4" s="80"/>
      <c r="CXT4" s="80"/>
      <c r="CXU4" s="79"/>
      <c r="CXV4" s="80"/>
      <c r="CXW4" s="80"/>
      <c r="CXX4" s="80"/>
      <c r="CXY4" s="79"/>
      <c r="CXZ4" s="80"/>
      <c r="CYA4" s="80"/>
      <c r="CYB4" s="80"/>
      <c r="CYC4" s="79"/>
      <c r="CYD4" s="80"/>
      <c r="CYE4" s="80"/>
      <c r="CYF4" s="80"/>
      <c r="CYG4" s="79"/>
      <c r="CYH4" s="80"/>
      <c r="CYI4" s="80"/>
      <c r="CYJ4" s="80"/>
      <c r="CYK4" s="79"/>
      <c r="CYL4" s="80"/>
      <c r="CYM4" s="80"/>
      <c r="CYN4" s="80"/>
      <c r="CYO4" s="79"/>
      <c r="CYP4" s="80"/>
      <c r="CYQ4" s="80"/>
      <c r="CYR4" s="80"/>
      <c r="CYS4" s="79"/>
      <c r="CYT4" s="80"/>
      <c r="CYU4" s="80"/>
      <c r="CYV4" s="80"/>
      <c r="CYW4" s="79"/>
      <c r="CYX4" s="80"/>
      <c r="CYY4" s="80"/>
      <c r="CYZ4" s="80"/>
      <c r="CZA4" s="79"/>
      <c r="CZB4" s="80"/>
      <c r="CZC4" s="80"/>
      <c r="CZD4" s="80"/>
      <c r="CZE4" s="79"/>
      <c r="CZF4" s="80"/>
      <c r="CZG4" s="80"/>
      <c r="CZH4" s="80"/>
      <c r="CZI4" s="79"/>
      <c r="CZJ4" s="80"/>
      <c r="CZK4" s="80"/>
      <c r="CZL4" s="80"/>
      <c r="CZM4" s="79"/>
      <c r="CZN4" s="80"/>
      <c r="CZO4" s="80"/>
      <c r="CZP4" s="80"/>
      <c r="CZQ4" s="79"/>
      <c r="CZR4" s="80"/>
      <c r="CZS4" s="80"/>
      <c r="CZT4" s="80"/>
      <c r="CZU4" s="79"/>
      <c r="CZV4" s="80"/>
      <c r="CZW4" s="80"/>
      <c r="CZX4" s="80"/>
      <c r="CZY4" s="79"/>
      <c r="CZZ4" s="80"/>
      <c r="DAA4" s="80"/>
      <c r="DAB4" s="80"/>
      <c r="DAC4" s="79"/>
      <c r="DAD4" s="80"/>
      <c r="DAE4" s="80"/>
      <c r="DAF4" s="80"/>
      <c r="DAG4" s="79"/>
      <c r="DAH4" s="80"/>
      <c r="DAI4" s="80"/>
      <c r="DAJ4" s="80"/>
      <c r="DAK4" s="79"/>
      <c r="DAL4" s="80"/>
      <c r="DAM4" s="80"/>
      <c r="DAN4" s="80"/>
      <c r="DAO4" s="79"/>
      <c r="DAP4" s="80"/>
      <c r="DAQ4" s="80"/>
      <c r="DAR4" s="80"/>
      <c r="DAS4" s="79"/>
      <c r="DAT4" s="80"/>
      <c r="DAU4" s="80"/>
      <c r="DAV4" s="80"/>
      <c r="DAW4" s="79"/>
      <c r="DAX4" s="80"/>
      <c r="DAY4" s="80"/>
      <c r="DAZ4" s="80"/>
      <c r="DBA4" s="79"/>
      <c r="DBB4" s="80"/>
      <c r="DBC4" s="80"/>
      <c r="DBD4" s="80"/>
      <c r="DBE4" s="79"/>
      <c r="DBF4" s="80"/>
      <c r="DBG4" s="80"/>
      <c r="DBH4" s="80"/>
      <c r="DBI4" s="79"/>
      <c r="DBJ4" s="80"/>
      <c r="DBK4" s="80"/>
      <c r="DBL4" s="80"/>
      <c r="DBM4" s="79"/>
      <c r="DBN4" s="80"/>
      <c r="DBO4" s="80"/>
      <c r="DBP4" s="80"/>
      <c r="DBQ4" s="79"/>
      <c r="DBR4" s="80"/>
      <c r="DBS4" s="80"/>
      <c r="DBT4" s="80"/>
      <c r="DBU4" s="79"/>
      <c r="DBV4" s="80"/>
      <c r="DBW4" s="80"/>
      <c r="DBX4" s="80"/>
      <c r="DBY4" s="79"/>
      <c r="DBZ4" s="80"/>
      <c r="DCA4" s="80"/>
      <c r="DCB4" s="80"/>
      <c r="DCC4" s="79"/>
      <c r="DCD4" s="80"/>
      <c r="DCE4" s="80"/>
      <c r="DCF4" s="80"/>
      <c r="DCG4" s="79"/>
      <c r="DCH4" s="80"/>
      <c r="DCI4" s="80"/>
      <c r="DCJ4" s="80"/>
      <c r="DCK4" s="79"/>
      <c r="DCL4" s="80"/>
      <c r="DCM4" s="80"/>
      <c r="DCN4" s="80"/>
      <c r="DCO4" s="79"/>
      <c r="DCP4" s="80"/>
      <c r="DCQ4" s="80"/>
      <c r="DCR4" s="80"/>
      <c r="DCS4" s="79"/>
      <c r="DCT4" s="80"/>
      <c r="DCU4" s="80"/>
      <c r="DCV4" s="80"/>
      <c r="DCW4" s="79"/>
      <c r="DCX4" s="80"/>
      <c r="DCY4" s="80"/>
      <c r="DCZ4" s="80"/>
      <c r="DDA4" s="79"/>
      <c r="DDB4" s="80"/>
      <c r="DDC4" s="80"/>
      <c r="DDD4" s="80"/>
      <c r="DDE4" s="79"/>
      <c r="DDF4" s="80"/>
      <c r="DDG4" s="80"/>
      <c r="DDH4" s="80"/>
      <c r="DDI4" s="79"/>
      <c r="DDJ4" s="80"/>
      <c r="DDK4" s="80"/>
      <c r="DDL4" s="80"/>
      <c r="DDM4" s="79"/>
      <c r="DDN4" s="80"/>
      <c r="DDO4" s="80"/>
      <c r="DDP4" s="80"/>
      <c r="DDQ4" s="79"/>
      <c r="DDR4" s="80"/>
      <c r="DDS4" s="80"/>
      <c r="DDT4" s="80"/>
      <c r="DDU4" s="79"/>
      <c r="DDV4" s="80"/>
      <c r="DDW4" s="80"/>
      <c r="DDX4" s="80"/>
      <c r="DDY4" s="79"/>
      <c r="DDZ4" s="80"/>
      <c r="DEA4" s="80"/>
      <c r="DEB4" s="80"/>
      <c r="DEC4" s="79"/>
      <c r="DED4" s="80"/>
      <c r="DEE4" s="80"/>
      <c r="DEF4" s="80"/>
      <c r="DEG4" s="79"/>
      <c r="DEH4" s="80"/>
      <c r="DEI4" s="80"/>
      <c r="DEJ4" s="80"/>
      <c r="DEK4" s="79"/>
      <c r="DEL4" s="80"/>
      <c r="DEM4" s="80"/>
      <c r="DEN4" s="80"/>
      <c r="DEO4" s="79"/>
      <c r="DEP4" s="80"/>
      <c r="DEQ4" s="80"/>
      <c r="DER4" s="80"/>
      <c r="DES4" s="79"/>
      <c r="DET4" s="80"/>
      <c r="DEU4" s="80"/>
      <c r="DEV4" s="80"/>
      <c r="DEW4" s="79"/>
      <c r="DEX4" s="80"/>
      <c r="DEY4" s="80"/>
      <c r="DEZ4" s="80"/>
      <c r="DFA4" s="79"/>
      <c r="DFB4" s="80"/>
      <c r="DFC4" s="80"/>
      <c r="DFD4" s="80"/>
      <c r="DFE4" s="79"/>
      <c r="DFF4" s="80"/>
      <c r="DFG4" s="80"/>
      <c r="DFH4" s="80"/>
      <c r="DFI4" s="79"/>
      <c r="DFJ4" s="80"/>
      <c r="DFK4" s="80"/>
      <c r="DFL4" s="80"/>
      <c r="DFM4" s="79"/>
      <c r="DFN4" s="80"/>
      <c r="DFO4" s="80"/>
      <c r="DFP4" s="80"/>
      <c r="DFQ4" s="79"/>
      <c r="DFR4" s="80"/>
      <c r="DFS4" s="80"/>
      <c r="DFT4" s="80"/>
      <c r="DFU4" s="79"/>
      <c r="DFV4" s="80"/>
      <c r="DFW4" s="80"/>
      <c r="DFX4" s="80"/>
      <c r="DFY4" s="79"/>
      <c r="DFZ4" s="80"/>
      <c r="DGA4" s="80"/>
      <c r="DGB4" s="80"/>
      <c r="DGC4" s="79"/>
      <c r="DGD4" s="80"/>
      <c r="DGE4" s="80"/>
      <c r="DGF4" s="80"/>
      <c r="DGG4" s="79"/>
      <c r="DGH4" s="80"/>
      <c r="DGI4" s="80"/>
      <c r="DGJ4" s="80"/>
      <c r="DGK4" s="79"/>
      <c r="DGL4" s="80"/>
      <c r="DGM4" s="80"/>
      <c r="DGN4" s="80"/>
      <c r="DGO4" s="79"/>
      <c r="DGP4" s="80"/>
      <c r="DGQ4" s="80"/>
      <c r="DGR4" s="80"/>
      <c r="DGS4" s="79"/>
      <c r="DGT4" s="80"/>
      <c r="DGU4" s="80"/>
      <c r="DGV4" s="80"/>
      <c r="DGW4" s="79"/>
      <c r="DGX4" s="80"/>
      <c r="DGY4" s="80"/>
      <c r="DGZ4" s="80"/>
      <c r="DHA4" s="79"/>
      <c r="DHB4" s="80"/>
      <c r="DHC4" s="80"/>
      <c r="DHD4" s="80"/>
      <c r="DHE4" s="79"/>
      <c r="DHF4" s="80"/>
      <c r="DHG4" s="80"/>
      <c r="DHH4" s="80"/>
      <c r="DHI4" s="79"/>
      <c r="DHJ4" s="80"/>
      <c r="DHK4" s="80"/>
      <c r="DHL4" s="80"/>
      <c r="DHM4" s="79"/>
      <c r="DHN4" s="80"/>
      <c r="DHO4" s="80"/>
      <c r="DHP4" s="80"/>
      <c r="DHQ4" s="79"/>
      <c r="DHR4" s="80"/>
      <c r="DHS4" s="80"/>
      <c r="DHT4" s="80"/>
      <c r="DHU4" s="79"/>
      <c r="DHV4" s="80"/>
      <c r="DHW4" s="80"/>
      <c r="DHX4" s="80"/>
      <c r="DHY4" s="79"/>
      <c r="DHZ4" s="80"/>
      <c r="DIA4" s="80"/>
      <c r="DIB4" s="80"/>
      <c r="DIC4" s="79"/>
      <c r="DID4" s="80"/>
      <c r="DIE4" s="80"/>
      <c r="DIF4" s="80"/>
      <c r="DIG4" s="79"/>
      <c r="DIH4" s="80"/>
      <c r="DII4" s="80"/>
      <c r="DIJ4" s="80"/>
      <c r="DIK4" s="79"/>
      <c r="DIL4" s="80"/>
      <c r="DIM4" s="80"/>
      <c r="DIN4" s="80"/>
      <c r="DIO4" s="79"/>
      <c r="DIP4" s="80"/>
      <c r="DIQ4" s="80"/>
      <c r="DIR4" s="80"/>
      <c r="DIS4" s="79"/>
      <c r="DIT4" s="80"/>
      <c r="DIU4" s="80"/>
      <c r="DIV4" s="80"/>
      <c r="DIW4" s="79"/>
      <c r="DIX4" s="80"/>
      <c r="DIY4" s="80"/>
      <c r="DIZ4" s="80"/>
      <c r="DJA4" s="79"/>
      <c r="DJB4" s="80"/>
      <c r="DJC4" s="80"/>
      <c r="DJD4" s="80"/>
      <c r="DJE4" s="79"/>
      <c r="DJF4" s="80"/>
      <c r="DJG4" s="80"/>
      <c r="DJH4" s="80"/>
      <c r="DJI4" s="79"/>
      <c r="DJJ4" s="80"/>
      <c r="DJK4" s="80"/>
      <c r="DJL4" s="80"/>
      <c r="DJM4" s="79"/>
      <c r="DJN4" s="80"/>
      <c r="DJO4" s="80"/>
      <c r="DJP4" s="80"/>
      <c r="DJQ4" s="79"/>
      <c r="DJR4" s="80"/>
      <c r="DJS4" s="80"/>
      <c r="DJT4" s="80"/>
      <c r="DJU4" s="79"/>
      <c r="DJV4" s="80"/>
      <c r="DJW4" s="80"/>
      <c r="DJX4" s="80"/>
      <c r="DJY4" s="79"/>
      <c r="DJZ4" s="80"/>
      <c r="DKA4" s="80"/>
      <c r="DKB4" s="80"/>
      <c r="DKC4" s="79"/>
      <c r="DKD4" s="80"/>
      <c r="DKE4" s="80"/>
      <c r="DKF4" s="80"/>
      <c r="DKG4" s="79"/>
      <c r="DKH4" s="80"/>
      <c r="DKI4" s="80"/>
      <c r="DKJ4" s="80"/>
      <c r="DKK4" s="79"/>
      <c r="DKL4" s="80"/>
      <c r="DKM4" s="80"/>
      <c r="DKN4" s="80"/>
      <c r="DKO4" s="79"/>
      <c r="DKP4" s="80"/>
      <c r="DKQ4" s="80"/>
      <c r="DKR4" s="80"/>
      <c r="DKS4" s="79"/>
      <c r="DKT4" s="80"/>
      <c r="DKU4" s="80"/>
      <c r="DKV4" s="80"/>
      <c r="DKW4" s="79"/>
      <c r="DKX4" s="80"/>
      <c r="DKY4" s="80"/>
      <c r="DKZ4" s="80"/>
      <c r="DLA4" s="79"/>
      <c r="DLB4" s="80"/>
      <c r="DLC4" s="80"/>
      <c r="DLD4" s="80"/>
      <c r="DLE4" s="79"/>
      <c r="DLF4" s="80"/>
      <c r="DLG4" s="80"/>
      <c r="DLH4" s="80"/>
      <c r="DLI4" s="79"/>
      <c r="DLJ4" s="80"/>
      <c r="DLK4" s="80"/>
      <c r="DLL4" s="80"/>
      <c r="DLM4" s="79"/>
      <c r="DLN4" s="80"/>
      <c r="DLO4" s="80"/>
      <c r="DLP4" s="80"/>
      <c r="DLQ4" s="79"/>
      <c r="DLR4" s="80"/>
      <c r="DLS4" s="80"/>
      <c r="DLT4" s="80"/>
      <c r="DLU4" s="79"/>
      <c r="DLV4" s="80"/>
      <c r="DLW4" s="80"/>
      <c r="DLX4" s="80"/>
      <c r="DLY4" s="79"/>
      <c r="DLZ4" s="80"/>
      <c r="DMA4" s="80"/>
      <c r="DMB4" s="80"/>
      <c r="DMC4" s="79"/>
      <c r="DMD4" s="80"/>
      <c r="DME4" s="80"/>
      <c r="DMF4" s="80"/>
      <c r="DMG4" s="79"/>
      <c r="DMH4" s="80"/>
      <c r="DMI4" s="80"/>
      <c r="DMJ4" s="80"/>
      <c r="DMK4" s="79"/>
      <c r="DML4" s="80"/>
      <c r="DMM4" s="80"/>
      <c r="DMN4" s="80"/>
      <c r="DMO4" s="79"/>
      <c r="DMP4" s="80"/>
      <c r="DMQ4" s="80"/>
      <c r="DMR4" s="80"/>
      <c r="DMS4" s="79"/>
      <c r="DMT4" s="80"/>
      <c r="DMU4" s="80"/>
      <c r="DMV4" s="80"/>
      <c r="DMW4" s="79"/>
      <c r="DMX4" s="80"/>
      <c r="DMY4" s="80"/>
      <c r="DMZ4" s="80"/>
      <c r="DNA4" s="79"/>
      <c r="DNB4" s="80"/>
      <c r="DNC4" s="80"/>
      <c r="DND4" s="80"/>
      <c r="DNE4" s="79"/>
      <c r="DNF4" s="80"/>
      <c r="DNG4" s="80"/>
      <c r="DNH4" s="80"/>
      <c r="DNI4" s="79"/>
      <c r="DNJ4" s="80"/>
      <c r="DNK4" s="80"/>
      <c r="DNL4" s="80"/>
      <c r="DNM4" s="79"/>
      <c r="DNN4" s="80"/>
      <c r="DNO4" s="80"/>
      <c r="DNP4" s="80"/>
      <c r="DNQ4" s="79"/>
      <c r="DNR4" s="80"/>
      <c r="DNS4" s="80"/>
      <c r="DNT4" s="80"/>
      <c r="DNU4" s="79"/>
      <c r="DNV4" s="80"/>
      <c r="DNW4" s="80"/>
      <c r="DNX4" s="80"/>
      <c r="DNY4" s="79"/>
      <c r="DNZ4" s="80"/>
      <c r="DOA4" s="80"/>
      <c r="DOB4" s="80"/>
      <c r="DOC4" s="79"/>
      <c r="DOD4" s="80"/>
      <c r="DOE4" s="80"/>
      <c r="DOF4" s="80"/>
      <c r="DOG4" s="79"/>
      <c r="DOH4" s="80"/>
      <c r="DOI4" s="80"/>
      <c r="DOJ4" s="80"/>
      <c r="DOK4" s="79"/>
      <c r="DOL4" s="80"/>
      <c r="DOM4" s="80"/>
      <c r="DON4" s="80"/>
      <c r="DOO4" s="79"/>
      <c r="DOP4" s="80"/>
      <c r="DOQ4" s="80"/>
      <c r="DOR4" s="80"/>
      <c r="DOS4" s="79"/>
      <c r="DOT4" s="80"/>
      <c r="DOU4" s="80"/>
      <c r="DOV4" s="80"/>
      <c r="DOW4" s="79"/>
      <c r="DOX4" s="80"/>
      <c r="DOY4" s="80"/>
      <c r="DOZ4" s="80"/>
      <c r="DPA4" s="79"/>
      <c r="DPB4" s="80"/>
      <c r="DPC4" s="80"/>
      <c r="DPD4" s="80"/>
      <c r="DPE4" s="79"/>
      <c r="DPF4" s="80"/>
      <c r="DPG4" s="80"/>
      <c r="DPH4" s="80"/>
      <c r="DPI4" s="79"/>
      <c r="DPJ4" s="80"/>
      <c r="DPK4" s="80"/>
      <c r="DPL4" s="80"/>
      <c r="DPM4" s="79"/>
      <c r="DPN4" s="80"/>
      <c r="DPO4" s="80"/>
      <c r="DPP4" s="80"/>
      <c r="DPQ4" s="79"/>
      <c r="DPR4" s="80"/>
      <c r="DPS4" s="80"/>
      <c r="DPT4" s="80"/>
      <c r="DPU4" s="79"/>
      <c r="DPV4" s="80"/>
      <c r="DPW4" s="80"/>
      <c r="DPX4" s="80"/>
      <c r="DPY4" s="79"/>
      <c r="DPZ4" s="80"/>
      <c r="DQA4" s="80"/>
      <c r="DQB4" s="80"/>
      <c r="DQC4" s="79"/>
      <c r="DQD4" s="80"/>
      <c r="DQE4" s="80"/>
      <c r="DQF4" s="80"/>
      <c r="DQG4" s="79"/>
      <c r="DQH4" s="80"/>
      <c r="DQI4" s="80"/>
      <c r="DQJ4" s="80"/>
      <c r="DQK4" s="79"/>
      <c r="DQL4" s="80"/>
      <c r="DQM4" s="80"/>
      <c r="DQN4" s="80"/>
      <c r="DQO4" s="79"/>
      <c r="DQP4" s="80"/>
      <c r="DQQ4" s="80"/>
      <c r="DQR4" s="80"/>
      <c r="DQS4" s="79"/>
      <c r="DQT4" s="80"/>
      <c r="DQU4" s="80"/>
      <c r="DQV4" s="80"/>
      <c r="DQW4" s="79"/>
      <c r="DQX4" s="80"/>
      <c r="DQY4" s="80"/>
      <c r="DQZ4" s="80"/>
      <c r="DRA4" s="79"/>
      <c r="DRB4" s="80"/>
      <c r="DRC4" s="80"/>
      <c r="DRD4" s="80"/>
      <c r="DRE4" s="79"/>
      <c r="DRF4" s="80"/>
      <c r="DRG4" s="80"/>
      <c r="DRH4" s="80"/>
      <c r="DRI4" s="79"/>
      <c r="DRJ4" s="80"/>
      <c r="DRK4" s="80"/>
      <c r="DRL4" s="80"/>
      <c r="DRM4" s="79"/>
      <c r="DRN4" s="80"/>
      <c r="DRO4" s="80"/>
      <c r="DRP4" s="80"/>
      <c r="DRQ4" s="79"/>
      <c r="DRR4" s="80"/>
      <c r="DRS4" s="80"/>
      <c r="DRT4" s="80"/>
      <c r="DRU4" s="79"/>
      <c r="DRV4" s="80"/>
      <c r="DRW4" s="80"/>
      <c r="DRX4" s="80"/>
      <c r="DRY4" s="79"/>
      <c r="DRZ4" s="80"/>
      <c r="DSA4" s="80"/>
      <c r="DSB4" s="80"/>
      <c r="DSC4" s="79"/>
      <c r="DSD4" s="80"/>
      <c r="DSE4" s="80"/>
      <c r="DSF4" s="80"/>
      <c r="DSG4" s="79"/>
      <c r="DSH4" s="80"/>
      <c r="DSI4" s="80"/>
      <c r="DSJ4" s="80"/>
      <c r="DSK4" s="79"/>
      <c r="DSL4" s="80"/>
      <c r="DSM4" s="80"/>
      <c r="DSN4" s="80"/>
      <c r="DSO4" s="79"/>
      <c r="DSP4" s="80"/>
      <c r="DSQ4" s="80"/>
      <c r="DSR4" s="80"/>
      <c r="DSS4" s="79"/>
      <c r="DST4" s="80"/>
      <c r="DSU4" s="80"/>
      <c r="DSV4" s="80"/>
      <c r="DSW4" s="79"/>
      <c r="DSX4" s="80"/>
      <c r="DSY4" s="80"/>
      <c r="DSZ4" s="80"/>
      <c r="DTA4" s="79"/>
      <c r="DTB4" s="80"/>
      <c r="DTC4" s="80"/>
      <c r="DTD4" s="80"/>
      <c r="DTE4" s="79"/>
      <c r="DTF4" s="80"/>
      <c r="DTG4" s="80"/>
      <c r="DTH4" s="80"/>
      <c r="DTI4" s="79"/>
      <c r="DTJ4" s="80"/>
      <c r="DTK4" s="80"/>
      <c r="DTL4" s="80"/>
      <c r="DTM4" s="79"/>
      <c r="DTN4" s="80"/>
      <c r="DTO4" s="80"/>
      <c r="DTP4" s="80"/>
      <c r="DTQ4" s="79"/>
      <c r="DTR4" s="80"/>
      <c r="DTS4" s="80"/>
      <c r="DTT4" s="80"/>
      <c r="DTU4" s="79"/>
      <c r="DTV4" s="80"/>
      <c r="DTW4" s="80"/>
      <c r="DTX4" s="80"/>
      <c r="DTY4" s="79"/>
      <c r="DTZ4" s="80"/>
      <c r="DUA4" s="80"/>
      <c r="DUB4" s="80"/>
      <c r="DUC4" s="79"/>
      <c r="DUD4" s="80"/>
      <c r="DUE4" s="80"/>
      <c r="DUF4" s="80"/>
      <c r="DUG4" s="79"/>
      <c r="DUH4" s="80"/>
      <c r="DUI4" s="80"/>
      <c r="DUJ4" s="80"/>
      <c r="DUK4" s="79"/>
      <c r="DUL4" s="80"/>
      <c r="DUM4" s="80"/>
      <c r="DUN4" s="80"/>
      <c r="DUO4" s="79"/>
      <c r="DUP4" s="80"/>
      <c r="DUQ4" s="80"/>
      <c r="DUR4" s="80"/>
      <c r="DUS4" s="79"/>
      <c r="DUT4" s="80"/>
      <c r="DUU4" s="80"/>
      <c r="DUV4" s="80"/>
      <c r="DUW4" s="79"/>
      <c r="DUX4" s="80"/>
      <c r="DUY4" s="80"/>
      <c r="DUZ4" s="80"/>
      <c r="DVA4" s="79"/>
      <c r="DVB4" s="80"/>
      <c r="DVC4" s="80"/>
      <c r="DVD4" s="80"/>
      <c r="DVE4" s="79"/>
      <c r="DVF4" s="80"/>
      <c r="DVG4" s="80"/>
      <c r="DVH4" s="80"/>
      <c r="DVI4" s="79"/>
      <c r="DVJ4" s="80"/>
      <c r="DVK4" s="80"/>
      <c r="DVL4" s="80"/>
      <c r="DVM4" s="79"/>
      <c r="DVN4" s="80"/>
      <c r="DVO4" s="80"/>
      <c r="DVP4" s="80"/>
      <c r="DVQ4" s="79"/>
      <c r="DVR4" s="80"/>
      <c r="DVS4" s="80"/>
      <c r="DVT4" s="80"/>
      <c r="DVU4" s="79"/>
      <c r="DVV4" s="80"/>
      <c r="DVW4" s="80"/>
      <c r="DVX4" s="80"/>
      <c r="DVY4" s="79"/>
      <c r="DVZ4" s="80"/>
      <c r="DWA4" s="80"/>
      <c r="DWB4" s="80"/>
      <c r="DWC4" s="79"/>
      <c r="DWD4" s="80"/>
      <c r="DWE4" s="80"/>
      <c r="DWF4" s="80"/>
      <c r="DWG4" s="79"/>
      <c r="DWH4" s="80"/>
      <c r="DWI4" s="80"/>
      <c r="DWJ4" s="80"/>
      <c r="DWK4" s="79"/>
      <c r="DWL4" s="80"/>
      <c r="DWM4" s="80"/>
      <c r="DWN4" s="80"/>
      <c r="DWO4" s="79"/>
      <c r="DWP4" s="80"/>
      <c r="DWQ4" s="80"/>
      <c r="DWR4" s="80"/>
      <c r="DWS4" s="79"/>
      <c r="DWT4" s="80"/>
      <c r="DWU4" s="80"/>
      <c r="DWV4" s="80"/>
      <c r="DWW4" s="79"/>
      <c r="DWX4" s="80"/>
      <c r="DWY4" s="80"/>
      <c r="DWZ4" s="80"/>
      <c r="DXA4" s="79"/>
      <c r="DXB4" s="80"/>
      <c r="DXC4" s="80"/>
      <c r="DXD4" s="80"/>
      <c r="DXE4" s="79"/>
      <c r="DXF4" s="80"/>
      <c r="DXG4" s="80"/>
      <c r="DXH4" s="80"/>
      <c r="DXI4" s="79"/>
      <c r="DXJ4" s="80"/>
      <c r="DXK4" s="80"/>
      <c r="DXL4" s="80"/>
      <c r="DXM4" s="79"/>
      <c r="DXN4" s="80"/>
      <c r="DXO4" s="80"/>
      <c r="DXP4" s="80"/>
      <c r="DXQ4" s="79"/>
      <c r="DXR4" s="80"/>
      <c r="DXS4" s="80"/>
      <c r="DXT4" s="80"/>
      <c r="DXU4" s="79"/>
      <c r="DXV4" s="80"/>
      <c r="DXW4" s="80"/>
      <c r="DXX4" s="80"/>
      <c r="DXY4" s="79"/>
      <c r="DXZ4" s="80"/>
      <c r="DYA4" s="80"/>
      <c r="DYB4" s="80"/>
      <c r="DYC4" s="79"/>
      <c r="DYD4" s="80"/>
      <c r="DYE4" s="80"/>
      <c r="DYF4" s="80"/>
      <c r="DYG4" s="79"/>
      <c r="DYH4" s="80"/>
      <c r="DYI4" s="80"/>
      <c r="DYJ4" s="80"/>
      <c r="DYK4" s="79"/>
      <c r="DYL4" s="80"/>
      <c r="DYM4" s="80"/>
      <c r="DYN4" s="80"/>
      <c r="DYO4" s="79"/>
      <c r="DYP4" s="80"/>
      <c r="DYQ4" s="80"/>
      <c r="DYR4" s="80"/>
      <c r="DYS4" s="79"/>
      <c r="DYT4" s="80"/>
      <c r="DYU4" s="80"/>
      <c r="DYV4" s="80"/>
      <c r="DYW4" s="79"/>
      <c r="DYX4" s="80"/>
      <c r="DYY4" s="80"/>
      <c r="DYZ4" s="80"/>
      <c r="DZA4" s="79"/>
      <c r="DZB4" s="80"/>
      <c r="DZC4" s="80"/>
      <c r="DZD4" s="80"/>
      <c r="DZE4" s="79"/>
      <c r="DZF4" s="80"/>
      <c r="DZG4" s="80"/>
      <c r="DZH4" s="80"/>
      <c r="DZI4" s="79"/>
      <c r="DZJ4" s="80"/>
      <c r="DZK4" s="80"/>
      <c r="DZL4" s="80"/>
      <c r="DZM4" s="79"/>
      <c r="DZN4" s="80"/>
      <c r="DZO4" s="80"/>
      <c r="DZP4" s="80"/>
      <c r="DZQ4" s="79"/>
      <c r="DZR4" s="80"/>
      <c r="DZS4" s="80"/>
      <c r="DZT4" s="80"/>
      <c r="DZU4" s="79"/>
      <c r="DZV4" s="80"/>
      <c r="DZW4" s="80"/>
      <c r="DZX4" s="80"/>
      <c r="DZY4" s="79"/>
      <c r="DZZ4" s="80"/>
      <c r="EAA4" s="80"/>
      <c r="EAB4" s="80"/>
      <c r="EAC4" s="79"/>
      <c r="EAD4" s="80"/>
      <c r="EAE4" s="80"/>
      <c r="EAF4" s="80"/>
      <c r="EAG4" s="79"/>
      <c r="EAH4" s="80"/>
      <c r="EAI4" s="80"/>
      <c r="EAJ4" s="80"/>
      <c r="EAK4" s="79"/>
      <c r="EAL4" s="80"/>
      <c r="EAM4" s="80"/>
      <c r="EAN4" s="80"/>
      <c r="EAO4" s="79"/>
      <c r="EAP4" s="80"/>
      <c r="EAQ4" s="80"/>
      <c r="EAR4" s="80"/>
      <c r="EAS4" s="79"/>
      <c r="EAT4" s="80"/>
      <c r="EAU4" s="80"/>
      <c r="EAV4" s="80"/>
      <c r="EAW4" s="79"/>
      <c r="EAX4" s="80"/>
      <c r="EAY4" s="80"/>
      <c r="EAZ4" s="80"/>
      <c r="EBA4" s="79"/>
      <c r="EBB4" s="80"/>
      <c r="EBC4" s="80"/>
      <c r="EBD4" s="80"/>
      <c r="EBE4" s="79"/>
      <c r="EBF4" s="80"/>
      <c r="EBG4" s="80"/>
      <c r="EBH4" s="80"/>
      <c r="EBI4" s="79"/>
      <c r="EBJ4" s="80"/>
      <c r="EBK4" s="80"/>
      <c r="EBL4" s="80"/>
      <c r="EBM4" s="79"/>
      <c r="EBN4" s="80"/>
      <c r="EBO4" s="80"/>
      <c r="EBP4" s="80"/>
      <c r="EBQ4" s="79"/>
      <c r="EBR4" s="80"/>
      <c r="EBS4" s="80"/>
      <c r="EBT4" s="80"/>
      <c r="EBU4" s="79"/>
      <c r="EBV4" s="80"/>
      <c r="EBW4" s="80"/>
      <c r="EBX4" s="80"/>
      <c r="EBY4" s="79"/>
      <c r="EBZ4" s="80"/>
      <c r="ECA4" s="80"/>
      <c r="ECB4" s="80"/>
      <c r="ECC4" s="79"/>
      <c r="ECD4" s="80"/>
      <c r="ECE4" s="80"/>
      <c r="ECF4" s="80"/>
      <c r="ECG4" s="79"/>
      <c r="ECH4" s="80"/>
      <c r="ECI4" s="80"/>
      <c r="ECJ4" s="80"/>
      <c r="ECK4" s="79"/>
      <c r="ECL4" s="80"/>
      <c r="ECM4" s="80"/>
      <c r="ECN4" s="80"/>
      <c r="ECO4" s="79"/>
      <c r="ECP4" s="80"/>
      <c r="ECQ4" s="80"/>
      <c r="ECR4" s="80"/>
      <c r="ECS4" s="79"/>
      <c r="ECT4" s="80"/>
      <c r="ECU4" s="80"/>
      <c r="ECV4" s="80"/>
      <c r="ECW4" s="79"/>
      <c r="ECX4" s="80"/>
      <c r="ECY4" s="80"/>
      <c r="ECZ4" s="80"/>
      <c r="EDA4" s="79"/>
      <c r="EDB4" s="80"/>
      <c r="EDC4" s="80"/>
      <c r="EDD4" s="80"/>
      <c r="EDE4" s="79"/>
      <c r="EDF4" s="80"/>
      <c r="EDG4" s="80"/>
      <c r="EDH4" s="80"/>
      <c r="EDI4" s="79"/>
      <c r="EDJ4" s="80"/>
      <c r="EDK4" s="80"/>
      <c r="EDL4" s="80"/>
      <c r="EDM4" s="79"/>
      <c r="EDN4" s="80"/>
      <c r="EDO4" s="80"/>
      <c r="EDP4" s="80"/>
      <c r="EDQ4" s="79"/>
      <c r="EDR4" s="80"/>
      <c r="EDS4" s="80"/>
      <c r="EDT4" s="80"/>
      <c r="EDU4" s="79"/>
      <c r="EDV4" s="80"/>
      <c r="EDW4" s="80"/>
      <c r="EDX4" s="80"/>
      <c r="EDY4" s="79"/>
      <c r="EDZ4" s="80"/>
      <c r="EEA4" s="80"/>
      <c r="EEB4" s="80"/>
      <c r="EEC4" s="79"/>
      <c r="EED4" s="80"/>
      <c r="EEE4" s="80"/>
      <c r="EEF4" s="80"/>
      <c r="EEG4" s="79"/>
      <c r="EEH4" s="80"/>
      <c r="EEI4" s="80"/>
      <c r="EEJ4" s="80"/>
      <c r="EEK4" s="79"/>
      <c r="EEL4" s="80"/>
      <c r="EEM4" s="80"/>
      <c r="EEN4" s="80"/>
      <c r="EEO4" s="79"/>
      <c r="EEP4" s="80"/>
      <c r="EEQ4" s="80"/>
      <c r="EER4" s="80"/>
      <c r="EES4" s="79"/>
      <c r="EET4" s="80"/>
      <c r="EEU4" s="80"/>
      <c r="EEV4" s="80"/>
      <c r="EEW4" s="79"/>
      <c r="EEX4" s="80"/>
      <c r="EEY4" s="80"/>
      <c r="EEZ4" s="80"/>
      <c r="EFA4" s="79"/>
      <c r="EFB4" s="80"/>
      <c r="EFC4" s="80"/>
      <c r="EFD4" s="80"/>
      <c r="EFE4" s="79"/>
      <c r="EFF4" s="80"/>
      <c r="EFG4" s="80"/>
      <c r="EFH4" s="80"/>
      <c r="EFI4" s="79"/>
      <c r="EFJ4" s="80"/>
      <c r="EFK4" s="80"/>
      <c r="EFL4" s="80"/>
      <c r="EFM4" s="79"/>
      <c r="EFN4" s="80"/>
      <c r="EFO4" s="80"/>
      <c r="EFP4" s="80"/>
      <c r="EFQ4" s="79"/>
      <c r="EFR4" s="80"/>
      <c r="EFS4" s="80"/>
      <c r="EFT4" s="80"/>
      <c r="EFU4" s="79"/>
      <c r="EFV4" s="80"/>
      <c r="EFW4" s="80"/>
      <c r="EFX4" s="80"/>
      <c r="EFY4" s="79"/>
      <c r="EFZ4" s="80"/>
      <c r="EGA4" s="80"/>
      <c r="EGB4" s="80"/>
      <c r="EGC4" s="79"/>
      <c r="EGD4" s="80"/>
      <c r="EGE4" s="80"/>
      <c r="EGF4" s="80"/>
      <c r="EGG4" s="79"/>
      <c r="EGH4" s="80"/>
      <c r="EGI4" s="80"/>
      <c r="EGJ4" s="80"/>
      <c r="EGK4" s="79"/>
      <c r="EGL4" s="80"/>
      <c r="EGM4" s="80"/>
      <c r="EGN4" s="80"/>
      <c r="EGO4" s="79"/>
      <c r="EGP4" s="80"/>
      <c r="EGQ4" s="80"/>
      <c r="EGR4" s="80"/>
      <c r="EGS4" s="79"/>
      <c r="EGT4" s="80"/>
      <c r="EGU4" s="80"/>
      <c r="EGV4" s="80"/>
      <c r="EGW4" s="79"/>
      <c r="EGX4" s="80"/>
      <c r="EGY4" s="80"/>
      <c r="EGZ4" s="80"/>
      <c r="EHA4" s="79"/>
      <c r="EHB4" s="80"/>
      <c r="EHC4" s="80"/>
      <c r="EHD4" s="80"/>
      <c r="EHE4" s="79"/>
      <c r="EHF4" s="80"/>
      <c r="EHG4" s="80"/>
      <c r="EHH4" s="80"/>
      <c r="EHI4" s="79"/>
      <c r="EHJ4" s="80"/>
      <c r="EHK4" s="80"/>
      <c r="EHL4" s="80"/>
      <c r="EHM4" s="79"/>
      <c r="EHN4" s="80"/>
      <c r="EHO4" s="80"/>
      <c r="EHP4" s="80"/>
      <c r="EHQ4" s="79"/>
      <c r="EHR4" s="80"/>
      <c r="EHS4" s="80"/>
      <c r="EHT4" s="80"/>
      <c r="EHU4" s="79"/>
      <c r="EHV4" s="80"/>
      <c r="EHW4" s="80"/>
      <c r="EHX4" s="80"/>
      <c r="EHY4" s="79"/>
      <c r="EHZ4" s="80"/>
      <c r="EIA4" s="80"/>
      <c r="EIB4" s="80"/>
      <c r="EIC4" s="79"/>
      <c r="EID4" s="80"/>
      <c r="EIE4" s="80"/>
      <c r="EIF4" s="80"/>
      <c r="EIG4" s="79"/>
      <c r="EIH4" s="80"/>
      <c r="EII4" s="80"/>
      <c r="EIJ4" s="80"/>
      <c r="EIK4" s="79"/>
      <c r="EIL4" s="80"/>
      <c r="EIM4" s="80"/>
      <c r="EIN4" s="80"/>
      <c r="EIO4" s="79"/>
      <c r="EIP4" s="80"/>
      <c r="EIQ4" s="80"/>
      <c r="EIR4" s="80"/>
      <c r="EIS4" s="79"/>
      <c r="EIT4" s="80"/>
      <c r="EIU4" s="80"/>
      <c r="EIV4" s="80"/>
      <c r="EIW4" s="79"/>
      <c r="EIX4" s="80"/>
      <c r="EIY4" s="80"/>
      <c r="EIZ4" s="80"/>
      <c r="EJA4" s="79"/>
      <c r="EJB4" s="80"/>
      <c r="EJC4" s="80"/>
      <c r="EJD4" s="80"/>
      <c r="EJE4" s="79"/>
      <c r="EJF4" s="80"/>
      <c r="EJG4" s="80"/>
      <c r="EJH4" s="80"/>
      <c r="EJI4" s="79"/>
      <c r="EJJ4" s="80"/>
      <c r="EJK4" s="80"/>
      <c r="EJL4" s="80"/>
      <c r="EJM4" s="79"/>
      <c r="EJN4" s="80"/>
      <c r="EJO4" s="80"/>
      <c r="EJP4" s="80"/>
      <c r="EJQ4" s="79"/>
      <c r="EJR4" s="80"/>
      <c r="EJS4" s="80"/>
      <c r="EJT4" s="80"/>
      <c r="EJU4" s="79"/>
      <c r="EJV4" s="80"/>
      <c r="EJW4" s="80"/>
      <c r="EJX4" s="80"/>
      <c r="EJY4" s="79"/>
      <c r="EJZ4" s="80"/>
      <c r="EKA4" s="80"/>
      <c r="EKB4" s="80"/>
      <c r="EKC4" s="79"/>
      <c r="EKD4" s="80"/>
      <c r="EKE4" s="80"/>
      <c r="EKF4" s="80"/>
      <c r="EKG4" s="79"/>
      <c r="EKH4" s="80"/>
      <c r="EKI4" s="80"/>
      <c r="EKJ4" s="80"/>
      <c r="EKK4" s="79"/>
      <c r="EKL4" s="80"/>
      <c r="EKM4" s="80"/>
      <c r="EKN4" s="80"/>
      <c r="EKO4" s="79"/>
      <c r="EKP4" s="80"/>
      <c r="EKQ4" s="80"/>
      <c r="EKR4" s="80"/>
      <c r="EKS4" s="79"/>
      <c r="EKT4" s="80"/>
      <c r="EKU4" s="80"/>
      <c r="EKV4" s="80"/>
      <c r="EKW4" s="79"/>
      <c r="EKX4" s="80"/>
      <c r="EKY4" s="80"/>
      <c r="EKZ4" s="80"/>
      <c r="ELA4" s="79"/>
      <c r="ELB4" s="80"/>
      <c r="ELC4" s="80"/>
      <c r="ELD4" s="80"/>
      <c r="ELE4" s="79"/>
      <c r="ELF4" s="80"/>
      <c r="ELG4" s="80"/>
      <c r="ELH4" s="80"/>
      <c r="ELI4" s="79"/>
      <c r="ELJ4" s="80"/>
      <c r="ELK4" s="80"/>
      <c r="ELL4" s="80"/>
      <c r="ELM4" s="79"/>
      <c r="ELN4" s="80"/>
      <c r="ELO4" s="80"/>
      <c r="ELP4" s="80"/>
      <c r="ELQ4" s="79"/>
      <c r="ELR4" s="80"/>
      <c r="ELS4" s="80"/>
      <c r="ELT4" s="80"/>
      <c r="ELU4" s="79"/>
      <c r="ELV4" s="80"/>
      <c r="ELW4" s="80"/>
      <c r="ELX4" s="80"/>
      <c r="ELY4" s="79"/>
      <c r="ELZ4" s="80"/>
      <c r="EMA4" s="80"/>
      <c r="EMB4" s="80"/>
      <c r="EMC4" s="79"/>
      <c r="EMD4" s="80"/>
      <c r="EME4" s="80"/>
      <c r="EMF4" s="80"/>
      <c r="EMG4" s="79"/>
      <c r="EMH4" s="80"/>
      <c r="EMI4" s="80"/>
      <c r="EMJ4" s="80"/>
      <c r="EMK4" s="79"/>
      <c r="EML4" s="80"/>
      <c r="EMM4" s="80"/>
      <c r="EMN4" s="80"/>
      <c r="EMO4" s="79"/>
      <c r="EMP4" s="80"/>
      <c r="EMQ4" s="80"/>
      <c r="EMR4" s="80"/>
      <c r="EMS4" s="79"/>
      <c r="EMT4" s="80"/>
      <c r="EMU4" s="80"/>
      <c r="EMV4" s="80"/>
      <c r="EMW4" s="79"/>
      <c r="EMX4" s="80"/>
      <c r="EMY4" s="80"/>
      <c r="EMZ4" s="80"/>
      <c r="ENA4" s="79"/>
      <c r="ENB4" s="80"/>
      <c r="ENC4" s="80"/>
      <c r="END4" s="80"/>
      <c r="ENE4" s="79"/>
      <c r="ENF4" s="80"/>
      <c r="ENG4" s="80"/>
      <c r="ENH4" s="80"/>
      <c r="ENI4" s="79"/>
      <c r="ENJ4" s="80"/>
      <c r="ENK4" s="80"/>
      <c r="ENL4" s="80"/>
      <c r="ENM4" s="79"/>
      <c r="ENN4" s="80"/>
      <c r="ENO4" s="80"/>
      <c r="ENP4" s="80"/>
      <c r="ENQ4" s="79"/>
      <c r="ENR4" s="80"/>
      <c r="ENS4" s="80"/>
      <c r="ENT4" s="80"/>
      <c r="ENU4" s="79"/>
      <c r="ENV4" s="80"/>
      <c r="ENW4" s="80"/>
      <c r="ENX4" s="80"/>
      <c r="ENY4" s="79"/>
      <c r="ENZ4" s="80"/>
      <c r="EOA4" s="80"/>
      <c r="EOB4" s="80"/>
      <c r="EOC4" s="79"/>
      <c r="EOD4" s="80"/>
      <c r="EOE4" s="80"/>
      <c r="EOF4" s="80"/>
      <c r="EOG4" s="79"/>
      <c r="EOH4" s="80"/>
      <c r="EOI4" s="80"/>
      <c r="EOJ4" s="80"/>
      <c r="EOK4" s="79"/>
      <c r="EOL4" s="80"/>
      <c r="EOM4" s="80"/>
      <c r="EON4" s="80"/>
      <c r="EOO4" s="79"/>
      <c r="EOP4" s="80"/>
      <c r="EOQ4" s="80"/>
      <c r="EOR4" s="80"/>
      <c r="EOS4" s="79"/>
      <c r="EOT4" s="80"/>
      <c r="EOU4" s="80"/>
      <c r="EOV4" s="80"/>
      <c r="EOW4" s="79"/>
      <c r="EOX4" s="80"/>
      <c r="EOY4" s="80"/>
      <c r="EOZ4" s="80"/>
      <c r="EPA4" s="79"/>
      <c r="EPB4" s="80"/>
      <c r="EPC4" s="80"/>
      <c r="EPD4" s="80"/>
      <c r="EPE4" s="79"/>
      <c r="EPF4" s="80"/>
      <c r="EPG4" s="80"/>
      <c r="EPH4" s="80"/>
      <c r="EPI4" s="79"/>
      <c r="EPJ4" s="80"/>
      <c r="EPK4" s="80"/>
      <c r="EPL4" s="80"/>
      <c r="EPM4" s="79"/>
      <c r="EPN4" s="80"/>
      <c r="EPO4" s="80"/>
      <c r="EPP4" s="80"/>
      <c r="EPQ4" s="79"/>
      <c r="EPR4" s="80"/>
      <c r="EPS4" s="80"/>
      <c r="EPT4" s="80"/>
      <c r="EPU4" s="79"/>
      <c r="EPV4" s="80"/>
      <c r="EPW4" s="80"/>
      <c r="EPX4" s="80"/>
      <c r="EPY4" s="79"/>
      <c r="EPZ4" s="80"/>
      <c r="EQA4" s="80"/>
      <c r="EQB4" s="80"/>
      <c r="EQC4" s="79"/>
      <c r="EQD4" s="80"/>
      <c r="EQE4" s="80"/>
      <c r="EQF4" s="80"/>
      <c r="EQG4" s="79"/>
      <c r="EQH4" s="80"/>
      <c r="EQI4" s="80"/>
      <c r="EQJ4" s="80"/>
      <c r="EQK4" s="79"/>
      <c r="EQL4" s="80"/>
      <c r="EQM4" s="80"/>
      <c r="EQN4" s="80"/>
      <c r="EQO4" s="79"/>
      <c r="EQP4" s="80"/>
      <c r="EQQ4" s="80"/>
      <c r="EQR4" s="80"/>
      <c r="EQS4" s="79"/>
      <c r="EQT4" s="80"/>
      <c r="EQU4" s="80"/>
      <c r="EQV4" s="80"/>
      <c r="EQW4" s="79"/>
      <c r="EQX4" s="80"/>
      <c r="EQY4" s="80"/>
      <c r="EQZ4" s="80"/>
      <c r="ERA4" s="79"/>
      <c r="ERB4" s="80"/>
      <c r="ERC4" s="80"/>
      <c r="ERD4" s="80"/>
      <c r="ERE4" s="79"/>
      <c r="ERF4" s="80"/>
      <c r="ERG4" s="80"/>
      <c r="ERH4" s="80"/>
      <c r="ERI4" s="79"/>
      <c r="ERJ4" s="80"/>
      <c r="ERK4" s="80"/>
      <c r="ERL4" s="80"/>
      <c r="ERM4" s="79"/>
      <c r="ERN4" s="80"/>
      <c r="ERO4" s="80"/>
      <c r="ERP4" s="80"/>
      <c r="ERQ4" s="79"/>
      <c r="ERR4" s="80"/>
      <c r="ERS4" s="80"/>
      <c r="ERT4" s="80"/>
      <c r="ERU4" s="79"/>
      <c r="ERV4" s="80"/>
      <c r="ERW4" s="80"/>
      <c r="ERX4" s="80"/>
      <c r="ERY4" s="79"/>
      <c r="ERZ4" s="80"/>
      <c r="ESA4" s="80"/>
      <c r="ESB4" s="80"/>
      <c r="ESC4" s="79"/>
      <c r="ESD4" s="80"/>
      <c r="ESE4" s="80"/>
      <c r="ESF4" s="80"/>
      <c r="ESG4" s="79"/>
      <c r="ESH4" s="80"/>
      <c r="ESI4" s="80"/>
      <c r="ESJ4" s="80"/>
      <c r="ESK4" s="79"/>
      <c r="ESL4" s="80"/>
      <c r="ESM4" s="80"/>
      <c r="ESN4" s="80"/>
      <c r="ESO4" s="79"/>
      <c r="ESP4" s="80"/>
      <c r="ESQ4" s="80"/>
      <c r="ESR4" s="80"/>
      <c r="ESS4" s="79"/>
      <c r="EST4" s="80"/>
      <c r="ESU4" s="80"/>
      <c r="ESV4" s="80"/>
      <c r="ESW4" s="79"/>
      <c r="ESX4" s="80"/>
      <c r="ESY4" s="80"/>
      <c r="ESZ4" s="80"/>
      <c r="ETA4" s="79"/>
      <c r="ETB4" s="80"/>
      <c r="ETC4" s="80"/>
      <c r="ETD4" s="80"/>
      <c r="ETE4" s="79"/>
      <c r="ETF4" s="80"/>
      <c r="ETG4" s="80"/>
      <c r="ETH4" s="80"/>
      <c r="ETI4" s="79"/>
      <c r="ETJ4" s="80"/>
      <c r="ETK4" s="80"/>
      <c r="ETL4" s="80"/>
      <c r="ETM4" s="79"/>
      <c r="ETN4" s="80"/>
      <c r="ETO4" s="80"/>
      <c r="ETP4" s="80"/>
      <c r="ETQ4" s="79"/>
      <c r="ETR4" s="80"/>
      <c r="ETS4" s="80"/>
      <c r="ETT4" s="80"/>
      <c r="ETU4" s="79"/>
      <c r="ETV4" s="80"/>
      <c r="ETW4" s="80"/>
      <c r="ETX4" s="80"/>
      <c r="ETY4" s="79"/>
      <c r="ETZ4" s="80"/>
      <c r="EUA4" s="80"/>
      <c r="EUB4" s="80"/>
      <c r="EUC4" s="79"/>
      <c r="EUD4" s="80"/>
      <c r="EUE4" s="80"/>
      <c r="EUF4" s="80"/>
      <c r="EUG4" s="79"/>
      <c r="EUH4" s="80"/>
      <c r="EUI4" s="80"/>
      <c r="EUJ4" s="80"/>
      <c r="EUK4" s="79"/>
      <c r="EUL4" s="80"/>
      <c r="EUM4" s="80"/>
      <c r="EUN4" s="80"/>
      <c r="EUO4" s="79"/>
      <c r="EUP4" s="80"/>
      <c r="EUQ4" s="80"/>
      <c r="EUR4" s="80"/>
      <c r="EUS4" s="79"/>
      <c r="EUT4" s="80"/>
      <c r="EUU4" s="80"/>
      <c r="EUV4" s="80"/>
      <c r="EUW4" s="79"/>
      <c r="EUX4" s="80"/>
      <c r="EUY4" s="80"/>
      <c r="EUZ4" s="80"/>
      <c r="EVA4" s="79"/>
      <c r="EVB4" s="80"/>
      <c r="EVC4" s="80"/>
      <c r="EVD4" s="80"/>
      <c r="EVE4" s="79"/>
      <c r="EVF4" s="80"/>
      <c r="EVG4" s="80"/>
      <c r="EVH4" s="80"/>
      <c r="EVI4" s="79"/>
      <c r="EVJ4" s="80"/>
      <c r="EVK4" s="80"/>
      <c r="EVL4" s="80"/>
      <c r="EVM4" s="79"/>
      <c r="EVN4" s="80"/>
      <c r="EVO4" s="80"/>
      <c r="EVP4" s="80"/>
      <c r="EVQ4" s="79"/>
      <c r="EVR4" s="80"/>
      <c r="EVS4" s="80"/>
      <c r="EVT4" s="80"/>
      <c r="EVU4" s="79"/>
      <c r="EVV4" s="80"/>
      <c r="EVW4" s="80"/>
      <c r="EVX4" s="80"/>
      <c r="EVY4" s="79"/>
      <c r="EVZ4" s="80"/>
      <c r="EWA4" s="80"/>
      <c r="EWB4" s="80"/>
      <c r="EWC4" s="79"/>
      <c r="EWD4" s="80"/>
      <c r="EWE4" s="80"/>
      <c r="EWF4" s="80"/>
      <c r="EWG4" s="79"/>
      <c r="EWH4" s="80"/>
      <c r="EWI4" s="80"/>
      <c r="EWJ4" s="80"/>
      <c r="EWK4" s="79"/>
      <c r="EWL4" s="80"/>
      <c r="EWM4" s="80"/>
      <c r="EWN4" s="80"/>
      <c r="EWO4" s="79"/>
      <c r="EWP4" s="80"/>
      <c r="EWQ4" s="80"/>
      <c r="EWR4" s="80"/>
      <c r="EWS4" s="79"/>
      <c r="EWT4" s="80"/>
      <c r="EWU4" s="80"/>
      <c r="EWV4" s="80"/>
      <c r="EWW4" s="79"/>
      <c r="EWX4" s="80"/>
      <c r="EWY4" s="80"/>
      <c r="EWZ4" s="80"/>
      <c r="EXA4" s="79"/>
      <c r="EXB4" s="80"/>
      <c r="EXC4" s="80"/>
      <c r="EXD4" s="80"/>
      <c r="EXE4" s="79"/>
      <c r="EXF4" s="80"/>
      <c r="EXG4" s="80"/>
      <c r="EXH4" s="80"/>
      <c r="EXI4" s="79"/>
      <c r="EXJ4" s="80"/>
      <c r="EXK4" s="80"/>
      <c r="EXL4" s="80"/>
      <c r="EXM4" s="79"/>
      <c r="EXN4" s="80"/>
      <c r="EXO4" s="80"/>
      <c r="EXP4" s="80"/>
      <c r="EXQ4" s="79"/>
      <c r="EXR4" s="80"/>
      <c r="EXS4" s="80"/>
      <c r="EXT4" s="80"/>
      <c r="EXU4" s="79"/>
      <c r="EXV4" s="80"/>
      <c r="EXW4" s="80"/>
      <c r="EXX4" s="80"/>
      <c r="EXY4" s="79"/>
      <c r="EXZ4" s="80"/>
      <c r="EYA4" s="80"/>
      <c r="EYB4" s="80"/>
      <c r="EYC4" s="79"/>
      <c r="EYD4" s="80"/>
      <c r="EYE4" s="80"/>
      <c r="EYF4" s="80"/>
      <c r="EYG4" s="79"/>
      <c r="EYH4" s="80"/>
      <c r="EYI4" s="80"/>
      <c r="EYJ4" s="80"/>
      <c r="EYK4" s="79"/>
      <c r="EYL4" s="80"/>
      <c r="EYM4" s="80"/>
      <c r="EYN4" s="80"/>
      <c r="EYO4" s="79"/>
      <c r="EYP4" s="80"/>
      <c r="EYQ4" s="80"/>
      <c r="EYR4" s="80"/>
      <c r="EYS4" s="79"/>
      <c r="EYT4" s="80"/>
      <c r="EYU4" s="80"/>
      <c r="EYV4" s="80"/>
      <c r="EYW4" s="79"/>
      <c r="EYX4" s="80"/>
      <c r="EYY4" s="80"/>
      <c r="EYZ4" s="80"/>
      <c r="EZA4" s="79"/>
      <c r="EZB4" s="80"/>
      <c r="EZC4" s="80"/>
      <c r="EZD4" s="80"/>
      <c r="EZE4" s="79"/>
      <c r="EZF4" s="80"/>
      <c r="EZG4" s="80"/>
      <c r="EZH4" s="80"/>
      <c r="EZI4" s="79"/>
      <c r="EZJ4" s="80"/>
      <c r="EZK4" s="80"/>
      <c r="EZL4" s="80"/>
      <c r="EZM4" s="79"/>
      <c r="EZN4" s="80"/>
      <c r="EZO4" s="80"/>
      <c r="EZP4" s="80"/>
      <c r="EZQ4" s="79"/>
      <c r="EZR4" s="80"/>
      <c r="EZS4" s="80"/>
      <c r="EZT4" s="80"/>
      <c r="EZU4" s="79"/>
      <c r="EZV4" s="80"/>
      <c r="EZW4" s="80"/>
      <c r="EZX4" s="80"/>
      <c r="EZY4" s="79"/>
      <c r="EZZ4" s="80"/>
      <c r="FAA4" s="80"/>
      <c r="FAB4" s="80"/>
      <c r="FAC4" s="79"/>
      <c r="FAD4" s="80"/>
      <c r="FAE4" s="80"/>
      <c r="FAF4" s="80"/>
      <c r="FAG4" s="79"/>
      <c r="FAH4" s="80"/>
      <c r="FAI4" s="80"/>
      <c r="FAJ4" s="80"/>
      <c r="FAK4" s="79"/>
      <c r="FAL4" s="80"/>
      <c r="FAM4" s="80"/>
      <c r="FAN4" s="80"/>
      <c r="FAO4" s="79"/>
      <c r="FAP4" s="80"/>
      <c r="FAQ4" s="80"/>
      <c r="FAR4" s="80"/>
      <c r="FAS4" s="79"/>
      <c r="FAT4" s="80"/>
      <c r="FAU4" s="80"/>
      <c r="FAV4" s="80"/>
      <c r="FAW4" s="79"/>
      <c r="FAX4" s="80"/>
      <c r="FAY4" s="80"/>
      <c r="FAZ4" s="80"/>
      <c r="FBA4" s="79"/>
      <c r="FBB4" s="80"/>
      <c r="FBC4" s="80"/>
      <c r="FBD4" s="80"/>
      <c r="FBE4" s="79"/>
      <c r="FBF4" s="80"/>
      <c r="FBG4" s="80"/>
      <c r="FBH4" s="80"/>
      <c r="FBI4" s="79"/>
      <c r="FBJ4" s="80"/>
      <c r="FBK4" s="80"/>
      <c r="FBL4" s="80"/>
      <c r="FBM4" s="79"/>
      <c r="FBN4" s="80"/>
      <c r="FBO4" s="80"/>
      <c r="FBP4" s="80"/>
      <c r="FBQ4" s="79"/>
      <c r="FBR4" s="80"/>
      <c r="FBS4" s="80"/>
      <c r="FBT4" s="80"/>
      <c r="FBU4" s="79"/>
      <c r="FBV4" s="80"/>
      <c r="FBW4" s="80"/>
      <c r="FBX4" s="80"/>
      <c r="FBY4" s="79"/>
      <c r="FBZ4" s="80"/>
      <c r="FCA4" s="80"/>
      <c r="FCB4" s="80"/>
      <c r="FCC4" s="79"/>
      <c r="FCD4" s="80"/>
      <c r="FCE4" s="80"/>
      <c r="FCF4" s="80"/>
      <c r="FCG4" s="79"/>
      <c r="FCH4" s="80"/>
      <c r="FCI4" s="80"/>
      <c r="FCJ4" s="80"/>
      <c r="FCK4" s="79"/>
      <c r="FCL4" s="80"/>
      <c r="FCM4" s="80"/>
      <c r="FCN4" s="80"/>
      <c r="FCO4" s="79"/>
      <c r="FCP4" s="80"/>
      <c r="FCQ4" s="80"/>
      <c r="FCR4" s="80"/>
      <c r="FCS4" s="79"/>
      <c r="FCT4" s="80"/>
      <c r="FCU4" s="80"/>
      <c r="FCV4" s="80"/>
      <c r="FCW4" s="79"/>
      <c r="FCX4" s="80"/>
      <c r="FCY4" s="80"/>
      <c r="FCZ4" s="80"/>
      <c r="FDA4" s="79"/>
      <c r="FDB4" s="80"/>
      <c r="FDC4" s="80"/>
      <c r="FDD4" s="80"/>
      <c r="FDE4" s="79"/>
      <c r="FDF4" s="80"/>
      <c r="FDG4" s="80"/>
      <c r="FDH4" s="80"/>
      <c r="FDI4" s="79"/>
      <c r="FDJ4" s="80"/>
      <c r="FDK4" s="80"/>
      <c r="FDL4" s="80"/>
      <c r="FDM4" s="79"/>
      <c r="FDN4" s="80"/>
      <c r="FDO4" s="80"/>
      <c r="FDP4" s="80"/>
      <c r="FDQ4" s="79"/>
      <c r="FDR4" s="80"/>
      <c r="FDS4" s="80"/>
      <c r="FDT4" s="80"/>
      <c r="FDU4" s="79"/>
      <c r="FDV4" s="80"/>
      <c r="FDW4" s="80"/>
      <c r="FDX4" s="80"/>
      <c r="FDY4" s="79"/>
      <c r="FDZ4" s="80"/>
      <c r="FEA4" s="80"/>
      <c r="FEB4" s="80"/>
      <c r="FEC4" s="79"/>
      <c r="FED4" s="80"/>
      <c r="FEE4" s="80"/>
      <c r="FEF4" s="80"/>
      <c r="FEG4" s="79"/>
      <c r="FEH4" s="80"/>
      <c r="FEI4" s="80"/>
      <c r="FEJ4" s="80"/>
      <c r="FEK4" s="79"/>
      <c r="FEL4" s="80"/>
      <c r="FEM4" s="80"/>
      <c r="FEN4" s="80"/>
      <c r="FEO4" s="79"/>
      <c r="FEP4" s="80"/>
      <c r="FEQ4" s="80"/>
      <c r="FER4" s="80"/>
      <c r="FES4" s="79"/>
      <c r="FET4" s="80"/>
      <c r="FEU4" s="80"/>
      <c r="FEV4" s="80"/>
      <c r="FEW4" s="79"/>
      <c r="FEX4" s="80"/>
      <c r="FEY4" s="80"/>
      <c r="FEZ4" s="80"/>
      <c r="FFA4" s="79"/>
      <c r="FFB4" s="80"/>
      <c r="FFC4" s="80"/>
      <c r="FFD4" s="80"/>
      <c r="FFE4" s="79"/>
      <c r="FFF4" s="80"/>
      <c r="FFG4" s="80"/>
      <c r="FFH4" s="80"/>
      <c r="FFI4" s="79"/>
      <c r="FFJ4" s="80"/>
      <c r="FFK4" s="80"/>
      <c r="FFL4" s="80"/>
      <c r="FFM4" s="79"/>
      <c r="FFN4" s="80"/>
      <c r="FFO4" s="80"/>
      <c r="FFP4" s="80"/>
      <c r="FFQ4" s="79"/>
      <c r="FFR4" s="80"/>
      <c r="FFS4" s="80"/>
      <c r="FFT4" s="80"/>
      <c r="FFU4" s="79"/>
      <c r="FFV4" s="80"/>
      <c r="FFW4" s="80"/>
      <c r="FFX4" s="80"/>
      <c r="FFY4" s="79"/>
      <c r="FFZ4" s="80"/>
      <c r="FGA4" s="80"/>
      <c r="FGB4" s="80"/>
      <c r="FGC4" s="79"/>
      <c r="FGD4" s="80"/>
      <c r="FGE4" s="80"/>
      <c r="FGF4" s="80"/>
      <c r="FGG4" s="79"/>
      <c r="FGH4" s="80"/>
      <c r="FGI4" s="80"/>
      <c r="FGJ4" s="80"/>
      <c r="FGK4" s="79"/>
      <c r="FGL4" s="80"/>
      <c r="FGM4" s="80"/>
      <c r="FGN4" s="80"/>
      <c r="FGO4" s="79"/>
      <c r="FGP4" s="80"/>
      <c r="FGQ4" s="80"/>
      <c r="FGR4" s="80"/>
      <c r="FGS4" s="79"/>
      <c r="FGT4" s="80"/>
      <c r="FGU4" s="80"/>
      <c r="FGV4" s="80"/>
      <c r="FGW4" s="79"/>
      <c r="FGX4" s="80"/>
      <c r="FGY4" s="80"/>
      <c r="FGZ4" s="80"/>
      <c r="FHA4" s="79"/>
      <c r="FHB4" s="80"/>
      <c r="FHC4" s="80"/>
      <c r="FHD4" s="80"/>
      <c r="FHE4" s="79"/>
      <c r="FHF4" s="80"/>
      <c r="FHG4" s="80"/>
      <c r="FHH4" s="80"/>
      <c r="FHI4" s="79"/>
      <c r="FHJ4" s="80"/>
      <c r="FHK4" s="80"/>
      <c r="FHL4" s="80"/>
      <c r="FHM4" s="79"/>
      <c r="FHN4" s="80"/>
      <c r="FHO4" s="80"/>
      <c r="FHP4" s="80"/>
      <c r="FHQ4" s="79"/>
      <c r="FHR4" s="80"/>
      <c r="FHS4" s="80"/>
      <c r="FHT4" s="80"/>
      <c r="FHU4" s="79"/>
      <c r="FHV4" s="80"/>
      <c r="FHW4" s="80"/>
      <c r="FHX4" s="80"/>
      <c r="FHY4" s="79"/>
      <c r="FHZ4" s="80"/>
      <c r="FIA4" s="80"/>
      <c r="FIB4" s="80"/>
      <c r="FIC4" s="79"/>
      <c r="FID4" s="80"/>
      <c r="FIE4" s="80"/>
      <c r="FIF4" s="80"/>
      <c r="FIG4" s="79"/>
      <c r="FIH4" s="80"/>
      <c r="FII4" s="80"/>
      <c r="FIJ4" s="80"/>
      <c r="FIK4" s="79"/>
      <c r="FIL4" s="80"/>
      <c r="FIM4" s="80"/>
      <c r="FIN4" s="80"/>
      <c r="FIO4" s="79"/>
      <c r="FIP4" s="80"/>
      <c r="FIQ4" s="80"/>
      <c r="FIR4" s="80"/>
      <c r="FIS4" s="79"/>
      <c r="FIT4" s="80"/>
      <c r="FIU4" s="80"/>
      <c r="FIV4" s="80"/>
      <c r="FIW4" s="79"/>
      <c r="FIX4" s="80"/>
      <c r="FIY4" s="80"/>
      <c r="FIZ4" s="80"/>
      <c r="FJA4" s="79"/>
      <c r="FJB4" s="80"/>
      <c r="FJC4" s="80"/>
      <c r="FJD4" s="80"/>
      <c r="FJE4" s="79"/>
      <c r="FJF4" s="80"/>
      <c r="FJG4" s="80"/>
      <c r="FJH4" s="80"/>
      <c r="FJI4" s="79"/>
      <c r="FJJ4" s="80"/>
      <c r="FJK4" s="80"/>
      <c r="FJL4" s="80"/>
      <c r="FJM4" s="79"/>
      <c r="FJN4" s="80"/>
      <c r="FJO4" s="80"/>
      <c r="FJP4" s="80"/>
      <c r="FJQ4" s="79"/>
      <c r="FJR4" s="80"/>
      <c r="FJS4" s="80"/>
      <c r="FJT4" s="80"/>
      <c r="FJU4" s="79"/>
      <c r="FJV4" s="80"/>
      <c r="FJW4" s="80"/>
      <c r="FJX4" s="80"/>
      <c r="FJY4" s="79"/>
      <c r="FJZ4" s="80"/>
      <c r="FKA4" s="80"/>
      <c r="FKB4" s="80"/>
      <c r="FKC4" s="79"/>
      <c r="FKD4" s="80"/>
      <c r="FKE4" s="80"/>
      <c r="FKF4" s="80"/>
      <c r="FKG4" s="79"/>
      <c r="FKH4" s="80"/>
      <c r="FKI4" s="80"/>
      <c r="FKJ4" s="80"/>
      <c r="FKK4" s="79"/>
      <c r="FKL4" s="80"/>
      <c r="FKM4" s="80"/>
      <c r="FKN4" s="80"/>
      <c r="FKO4" s="79"/>
      <c r="FKP4" s="80"/>
      <c r="FKQ4" s="80"/>
      <c r="FKR4" s="80"/>
      <c r="FKS4" s="79"/>
      <c r="FKT4" s="80"/>
      <c r="FKU4" s="80"/>
      <c r="FKV4" s="80"/>
      <c r="FKW4" s="79"/>
      <c r="FKX4" s="80"/>
      <c r="FKY4" s="80"/>
      <c r="FKZ4" s="80"/>
      <c r="FLA4" s="79"/>
      <c r="FLB4" s="80"/>
      <c r="FLC4" s="80"/>
      <c r="FLD4" s="80"/>
      <c r="FLE4" s="79"/>
      <c r="FLF4" s="80"/>
      <c r="FLG4" s="80"/>
      <c r="FLH4" s="80"/>
      <c r="FLI4" s="79"/>
      <c r="FLJ4" s="80"/>
      <c r="FLK4" s="80"/>
      <c r="FLL4" s="80"/>
      <c r="FLM4" s="79"/>
      <c r="FLN4" s="80"/>
      <c r="FLO4" s="80"/>
      <c r="FLP4" s="80"/>
      <c r="FLQ4" s="79"/>
      <c r="FLR4" s="80"/>
      <c r="FLS4" s="80"/>
      <c r="FLT4" s="80"/>
      <c r="FLU4" s="79"/>
      <c r="FLV4" s="80"/>
      <c r="FLW4" s="80"/>
      <c r="FLX4" s="80"/>
      <c r="FLY4" s="79"/>
      <c r="FLZ4" s="80"/>
      <c r="FMA4" s="80"/>
      <c r="FMB4" s="80"/>
      <c r="FMC4" s="79"/>
      <c r="FMD4" s="80"/>
      <c r="FME4" s="80"/>
      <c r="FMF4" s="80"/>
      <c r="FMG4" s="79"/>
      <c r="FMH4" s="80"/>
      <c r="FMI4" s="80"/>
      <c r="FMJ4" s="80"/>
      <c r="FMK4" s="79"/>
      <c r="FML4" s="80"/>
      <c r="FMM4" s="80"/>
      <c r="FMN4" s="80"/>
      <c r="FMO4" s="79"/>
      <c r="FMP4" s="80"/>
      <c r="FMQ4" s="80"/>
      <c r="FMR4" s="80"/>
      <c r="FMS4" s="79"/>
      <c r="FMT4" s="80"/>
      <c r="FMU4" s="80"/>
      <c r="FMV4" s="80"/>
      <c r="FMW4" s="79"/>
      <c r="FMX4" s="80"/>
      <c r="FMY4" s="80"/>
      <c r="FMZ4" s="80"/>
      <c r="FNA4" s="79"/>
      <c r="FNB4" s="80"/>
      <c r="FNC4" s="80"/>
      <c r="FND4" s="80"/>
      <c r="FNE4" s="79"/>
      <c r="FNF4" s="80"/>
      <c r="FNG4" s="80"/>
      <c r="FNH4" s="80"/>
      <c r="FNI4" s="79"/>
      <c r="FNJ4" s="80"/>
      <c r="FNK4" s="80"/>
      <c r="FNL4" s="80"/>
      <c r="FNM4" s="79"/>
      <c r="FNN4" s="80"/>
      <c r="FNO4" s="80"/>
      <c r="FNP4" s="80"/>
      <c r="FNQ4" s="79"/>
      <c r="FNR4" s="80"/>
      <c r="FNS4" s="80"/>
      <c r="FNT4" s="80"/>
      <c r="FNU4" s="79"/>
      <c r="FNV4" s="80"/>
      <c r="FNW4" s="80"/>
      <c r="FNX4" s="80"/>
      <c r="FNY4" s="79"/>
      <c r="FNZ4" s="80"/>
      <c r="FOA4" s="80"/>
      <c r="FOB4" s="80"/>
      <c r="FOC4" s="79"/>
      <c r="FOD4" s="80"/>
      <c r="FOE4" s="80"/>
      <c r="FOF4" s="80"/>
      <c r="FOG4" s="79"/>
      <c r="FOH4" s="80"/>
      <c r="FOI4" s="80"/>
      <c r="FOJ4" s="80"/>
      <c r="FOK4" s="79"/>
      <c r="FOL4" s="80"/>
      <c r="FOM4" s="80"/>
      <c r="FON4" s="80"/>
      <c r="FOO4" s="79"/>
      <c r="FOP4" s="80"/>
      <c r="FOQ4" s="80"/>
      <c r="FOR4" s="80"/>
      <c r="FOS4" s="79"/>
      <c r="FOT4" s="80"/>
      <c r="FOU4" s="80"/>
      <c r="FOV4" s="80"/>
      <c r="FOW4" s="79"/>
      <c r="FOX4" s="80"/>
      <c r="FOY4" s="80"/>
      <c r="FOZ4" s="80"/>
      <c r="FPA4" s="79"/>
      <c r="FPB4" s="80"/>
      <c r="FPC4" s="80"/>
      <c r="FPD4" s="80"/>
      <c r="FPE4" s="79"/>
      <c r="FPF4" s="80"/>
      <c r="FPG4" s="80"/>
      <c r="FPH4" s="80"/>
      <c r="FPI4" s="79"/>
      <c r="FPJ4" s="80"/>
      <c r="FPK4" s="80"/>
      <c r="FPL4" s="80"/>
      <c r="FPM4" s="79"/>
      <c r="FPN4" s="80"/>
      <c r="FPO4" s="80"/>
      <c r="FPP4" s="80"/>
      <c r="FPQ4" s="79"/>
      <c r="FPR4" s="80"/>
      <c r="FPS4" s="80"/>
      <c r="FPT4" s="80"/>
      <c r="FPU4" s="79"/>
      <c r="FPV4" s="80"/>
      <c r="FPW4" s="80"/>
      <c r="FPX4" s="80"/>
      <c r="FPY4" s="79"/>
      <c r="FPZ4" s="80"/>
      <c r="FQA4" s="80"/>
      <c r="FQB4" s="80"/>
      <c r="FQC4" s="79"/>
      <c r="FQD4" s="80"/>
      <c r="FQE4" s="80"/>
      <c r="FQF4" s="80"/>
      <c r="FQG4" s="79"/>
      <c r="FQH4" s="80"/>
      <c r="FQI4" s="80"/>
      <c r="FQJ4" s="80"/>
      <c r="FQK4" s="79"/>
      <c r="FQL4" s="80"/>
      <c r="FQM4" s="80"/>
      <c r="FQN4" s="80"/>
      <c r="FQO4" s="79"/>
      <c r="FQP4" s="80"/>
      <c r="FQQ4" s="80"/>
      <c r="FQR4" s="80"/>
      <c r="FQS4" s="79"/>
      <c r="FQT4" s="80"/>
      <c r="FQU4" s="80"/>
      <c r="FQV4" s="80"/>
      <c r="FQW4" s="79"/>
      <c r="FQX4" s="80"/>
      <c r="FQY4" s="80"/>
      <c r="FQZ4" s="80"/>
      <c r="FRA4" s="79"/>
      <c r="FRB4" s="80"/>
      <c r="FRC4" s="80"/>
      <c r="FRD4" s="80"/>
      <c r="FRE4" s="79"/>
      <c r="FRF4" s="80"/>
      <c r="FRG4" s="80"/>
      <c r="FRH4" s="80"/>
      <c r="FRI4" s="79"/>
      <c r="FRJ4" s="80"/>
      <c r="FRK4" s="80"/>
      <c r="FRL4" s="80"/>
      <c r="FRM4" s="79"/>
      <c r="FRN4" s="80"/>
      <c r="FRO4" s="80"/>
      <c r="FRP4" s="80"/>
      <c r="FRQ4" s="79"/>
      <c r="FRR4" s="80"/>
      <c r="FRS4" s="80"/>
      <c r="FRT4" s="80"/>
      <c r="FRU4" s="79"/>
      <c r="FRV4" s="80"/>
      <c r="FRW4" s="80"/>
      <c r="FRX4" s="80"/>
      <c r="FRY4" s="79"/>
      <c r="FRZ4" s="80"/>
      <c r="FSA4" s="80"/>
      <c r="FSB4" s="80"/>
      <c r="FSC4" s="79"/>
      <c r="FSD4" s="80"/>
      <c r="FSE4" s="80"/>
      <c r="FSF4" s="80"/>
      <c r="FSG4" s="79"/>
      <c r="FSH4" s="80"/>
      <c r="FSI4" s="80"/>
      <c r="FSJ4" s="80"/>
      <c r="FSK4" s="79"/>
      <c r="FSL4" s="80"/>
      <c r="FSM4" s="80"/>
      <c r="FSN4" s="80"/>
      <c r="FSO4" s="79"/>
      <c r="FSP4" s="80"/>
      <c r="FSQ4" s="80"/>
      <c r="FSR4" s="80"/>
      <c r="FSS4" s="79"/>
      <c r="FST4" s="80"/>
      <c r="FSU4" s="80"/>
      <c r="FSV4" s="80"/>
      <c r="FSW4" s="79"/>
      <c r="FSX4" s="80"/>
      <c r="FSY4" s="80"/>
      <c r="FSZ4" s="80"/>
      <c r="FTA4" s="79"/>
      <c r="FTB4" s="80"/>
      <c r="FTC4" s="80"/>
      <c r="FTD4" s="80"/>
      <c r="FTE4" s="79"/>
      <c r="FTF4" s="80"/>
      <c r="FTG4" s="80"/>
      <c r="FTH4" s="80"/>
      <c r="FTI4" s="79"/>
      <c r="FTJ4" s="80"/>
      <c r="FTK4" s="80"/>
      <c r="FTL4" s="80"/>
      <c r="FTM4" s="79"/>
      <c r="FTN4" s="80"/>
      <c r="FTO4" s="80"/>
      <c r="FTP4" s="80"/>
      <c r="FTQ4" s="79"/>
      <c r="FTR4" s="80"/>
      <c r="FTS4" s="80"/>
      <c r="FTT4" s="80"/>
      <c r="FTU4" s="79"/>
      <c r="FTV4" s="80"/>
      <c r="FTW4" s="80"/>
      <c r="FTX4" s="80"/>
      <c r="FTY4" s="79"/>
      <c r="FTZ4" s="80"/>
      <c r="FUA4" s="80"/>
      <c r="FUB4" s="80"/>
      <c r="FUC4" s="79"/>
      <c r="FUD4" s="80"/>
      <c r="FUE4" s="80"/>
      <c r="FUF4" s="80"/>
      <c r="FUG4" s="79"/>
      <c r="FUH4" s="80"/>
      <c r="FUI4" s="80"/>
      <c r="FUJ4" s="80"/>
      <c r="FUK4" s="79"/>
      <c r="FUL4" s="80"/>
      <c r="FUM4" s="80"/>
      <c r="FUN4" s="80"/>
      <c r="FUO4" s="79"/>
      <c r="FUP4" s="80"/>
      <c r="FUQ4" s="80"/>
      <c r="FUR4" s="80"/>
      <c r="FUS4" s="79"/>
      <c r="FUT4" s="80"/>
      <c r="FUU4" s="80"/>
      <c r="FUV4" s="80"/>
      <c r="FUW4" s="79"/>
      <c r="FUX4" s="80"/>
      <c r="FUY4" s="80"/>
      <c r="FUZ4" s="80"/>
      <c r="FVA4" s="79"/>
      <c r="FVB4" s="80"/>
      <c r="FVC4" s="80"/>
      <c r="FVD4" s="80"/>
      <c r="FVE4" s="79"/>
      <c r="FVF4" s="80"/>
      <c r="FVG4" s="80"/>
      <c r="FVH4" s="80"/>
      <c r="FVI4" s="79"/>
      <c r="FVJ4" s="80"/>
      <c r="FVK4" s="80"/>
      <c r="FVL4" s="80"/>
      <c r="FVM4" s="79"/>
      <c r="FVN4" s="80"/>
      <c r="FVO4" s="80"/>
      <c r="FVP4" s="80"/>
      <c r="FVQ4" s="79"/>
      <c r="FVR4" s="80"/>
      <c r="FVS4" s="80"/>
      <c r="FVT4" s="80"/>
      <c r="FVU4" s="79"/>
      <c r="FVV4" s="80"/>
      <c r="FVW4" s="80"/>
      <c r="FVX4" s="80"/>
      <c r="FVY4" s="79"/>
      <c r="FVZ4" s="80"/>
      <c r="FWA4" s="80"/>
      <c r="FWB4" s="80"/>
      <c r="FWC4" s="79"/>
      <c r="FWD4" s="80"/>
      <c r="FWE4" s="80"/>
      <c r="FWF4" s="80"/>
      <c r="FWG4" s="79"/>
      <c r="FWH4" s="80"/>
      <c r="FWI4" s="80"/>
      <c r="FWJ4" s="80"/>
      <c r="FWK4" s="79"/>
      <c r="FWL4" s="80"/>
      <c r="FWM4" s="80"/>
      <c r="FWN4" s="80"/>
      <c r="FWO4" s="79"/>
      <c r="FWP4" s="80"/>
      <c r="FWQ4" s="80"/>
      <c r="FWR4" s="80"/>
      <c r="FWS4" s="79"/>
      <c r="FWT4" s="80"/>
      <c r="FWU4" s="80"/>
      <c r="FWV4" s="80"/>
      <c r="FWW4" s="79"/>
      <c r="FWX4" s="80"/>
      <c r="FWY4" s="80"/>
      <c r="FWZ4" s="80"/>
      <c r="FXA4" s="79"/>
      <c r="FXB4" s="80"/>
      <c r="FXC4" s="80"/>
      <c r="FXD4" s="80"/>
      <c r="FXE4" s="79"/>
      <c r="FXF4" s="80"/>
      <c r="FXG4" s="80"/>
      <c r="FXH4" s="80"/>
      <c r="FXI4" s="79"/>
      <c r="FXJ4" s="80"/>
      <c r="FXK4" s="80"/>
      <c r="FXL4" s="80"/>
      <c r="FXM4" s="79"/>
      <c r="FXN4" s="80"/>
      <c r="FXO4" s="80"/>
      <c r="FXP4" s="80"/>
      <c r="FXQ4" s="79"/>
      <c r="FXR4" s="80"/>
      <c r="FXS4" s="80"/>
      <c r="FXT4" s="80"/>
      <c r="FXU4" s="79"/>
      <c r="FXV4" s="80"/>
      <c r="FXW4" s="80"/>
      <c r="FXX4" s="80"/>
      <c r="FXY4" s="79"/>
      <c r="FXZ4" s="80"/>
      <c r="FYA4" s="80"/>
      <c r="FYB4" s="80"/>
      <c r="FYC4" s="79"/>
      <c r="FYD4" s="80"/>
      <c r="FYE4" s="80"/>
      <c r="FYF4" s="80"/>
      <c r="FYG4" s="79"/>
      <c r="FYH4" s="80"/>
      <c r="FYI4" s="80"/>
      <c r="FYJ4" s="80"/>
      <c r="FYK4" s="79"/>
      <c r="FYL4" s="80"/>
      <c r="FYM4" s="80"/>
      <c r="FYN4" s="80"/>
      <c r="FYO4" s="79"/>
      <c r="FYP4" s="80"/>
      <c r="FYQ4" s="80"/>
      <c r="FYR4" s="80"/>
      <c r="FYS4" s="79"/>
      <c r="FYT4" s="80"/>
      <c r="FYU4" s="80"/>
      <c r="FYV4" s="80"/>
      <c r="FYW4" s="79"/>
      <c r="FYX4" s="80"/>
      <c r="FYY4" s="80"/>
      <c r="FYZ4" s="80"/>
      <c r="FZA4" s="79"/>
      <c r="FZB4" s="80"/>
      <c r="FZC4" s="80"/>
      <c r="FZD4" s="80"/>
      <c r="FZE4" s="79"/>
      <c r="FZF4" s="80"/>
      <c r="FZG4" s="80"/>
      <c r="FZH4" s="80"/>
      <c r="FZI4" s="79"/>
      <c r="FZJ4" s="80"/>
      <c r="FZK4" s="80"/>
      <c r="FZL4" s="80"/>
      <c r="FZM4" s="79"/>
      <c r="FZN4" s="80"/>
      <c r="FZO4" s="80"/>
      <c r="FZP4" s="80"/>
      <c r="FZQ4" s="79"/>
      <c r="FZR4" s="80"/>
      <c r="FZS4" s="80"/>
      <c r="FZT4" s="80"/>
      <c r="FZU4" s="79"/>
      <c r="FZV4" s="80"/>
      <c r="FZW4" s="80"/>
      <c r="FZX4" s="80"/>
      <c r="FZY4" s="79"/>
      <c r="FZZ4" s="80"/>
      <c r="GAA4" s="80"/>
      <c r="GAB4" s="80"/>
      <c r="GAC4" s="79"/>
      <c r="GAD4" s="80"/>
      <c r="GAE4" s="80"/>
      <c r="GAF4" s="80"/>
      <c r="GAG4" s="79"/>
      <c r="GAH4" s="80"/>
      <c r="GAI4" s="80"/>
      <c r="GAJ4" s="80"/>
      <c r="GAK4" s="79"/>
      <c r="GAL4" s="80"/>
      <c r="GAM4" s="80"/>
      <c r="GAN4" s="80"/>
      <c r="GAO4" s="79"/>
      <c r="GAP4" s="80"/>
      <c r="GAQ4" s="80"/>
      <c r="GAR4" s="80"/>
      <c r="GAS4" s="79"/>
      <c r="GAT4" s="80"/>
      <c r="GAU4" s="80"/>
      <c r="GAV4" s="80"/>
      <c r="GAW4" s="79"/>
      <c r="GAX4" s="80"/>
      <c r="GAY4" s="80"/>
      <c r="GAZ4" s="80"/>
      <c r="GBA4" s="79"/>
      <c r="GBB4" s="80"/>
      <c r="GBC4" s="80"/>
      <c r="GBD4" s="80"/>
      <c r="GBE4" s="79"/>
      <c r="GBF4" s="80"/>
      <c r="GBG4" s="80"/>
      <c r="GBH4" s="80"/>
      <c r="GBI4" s="79"/>
      <c r="GBJ4" s="80"/>
      <c r="GBK4" s="80"/>
      <c r="GBL4" s="80"/>
      <c r="GBM4" s="79"/>
      <c r="GBN4" s="80"/>
      <c r="GBO4" s="80"/>
      <c r="GBP4" s="80"/>
      <c r="GBQ4" s="79"/>
      <c r="GBR4" s="80"/>
      <c r="GBS4" s="80"/>
      <c r="GBT4" s="80"/>
      <c r="GBU4" s="79"/>
      <c r="GBV4" s="80"/>
      <c r="GBW4" s="80"/>
      <c r="GBX4" s="80"/>
      <c r="GBY4" s="79"/>
      <c r="GBZ4" s="80"/>
      <c r="GCA4" s="80"/>
      <c r="GCB4" s="80"/>
      <c r="GCC4" s="79"/>
      <c r="GCD4" s="80"/>
      <c r="GCE4" s="80"/>
      <c r="GCF4" s="80"/>
      <c r="GCG4" s="79"/>
      <c r="GCH4" s="80"/>
      <c r="GCI4" s="80"/>
      <c r="GCJ4" s="80"/>
      <c r="GCK4" s="79"/>
      <c r="GCL4" s="80"/>
      <c r="GCM4" s="80"/>
      <c r="GCN4" s="80"/>
      <c r="GCO4" s="79"/>
      <c r="GCP4" s="80"/>
      <c r="GCQ4" s="80"/>
      <c r="GCR4" s="80"/>
      <c r="GCS4" s="79"/>
      <c r="GCT4" s="80"/>
      <c r="GCU4" s="80"/>
      <c r="GCV4" s="80"/>
      <c r="GCW4" s="79"/>
      <c r="GCX4" s="80"/>
      <c r="GCY4" s="80"/>
      <c r="GCZ4" s="80"/>
      <c r="GDA4" s="79"/>
      <c r="GDB4" s="80"/>
      <c r="GDC4" s="80"/>
      <c r="GDD4" s="80"/>
      <c r="GDE4" s="79"/>
      <c r="GDF4" s="80"/>
      <c r="GDG4" s="80"/>
      <c r="GDH4" s="80"/>
      <c r="GDI4" s="79"/>
      <c r="GDJ4" s="80"/>
      <c r="GDK4" s="80"/>
      <c r="GDL4" s="80"/>
      <c r="GDM4" s="79"/>
      <c r="GDN4" s="80"/>
      <c r="GDO4" s="80"/>
      <c r="GDP4" s="80"/>
      <c r="GDQ4" s="79"/>
      <c r="GDR4" s="80"/>
      <c r="GDS4" s="80"/>
      <c r="GDT4" s="80"/>
      <c r="GDU4" s="79"/>
      <c r="GDV4" s="80"/>
      <c r="GDW4" s="80"/>
      <c r="GDX4" s="80"/>
      <c r="GDY4" s="79"/>
      <c r="GDZ4" s="80"/>
      <c r="GEA4" s="80"/>
      <c r="GEB4" s="80"/>
      <c r="GEC4" s="79"/>
      <c r="GED4" s="80"/>
      <c r="GEE4" s="80"/>
      <c r="GEF4" s="80"/>
      <c r="GEG4" s="79"/>
      <c r="GEH4" s="80"/>
      <c r="GEI4" s="80"/>
      <c r="GEJ4" s="80"/>
      <c r="GEK4" s="79"/>
      <c r="GEL4" s="80"/>
      <c r="GEM4" s="80"/>
      <c r="GEN4" s="80"/>
      <c r="GEO4" s="79"/>
      <c r="GEP4" s="80"/>
      <c r="GEQ4" s="80"/>
      <c r="GER4" s="80"/>
      <c r="GES4" s="79"/>
      <c r="GET4" s="80"/>
      <c r="GEU4" s="80"/>
      <c r="GEV4" s="80"/>
      <c r="GEW4" s="79"/>
      <c r="GEX4" s="80"/>
      <c r="GEY4" s="80"/>
      <c r="GEZ4" s="80"/>
      <c r="GFA4" s="79"/>
      <c r="GFB4" s="80"/>
      <c r="GFC4" s="80"/>
      <c r="GFD4" s="80"/>
      <c r="GFE4" s="79"/>
      <c r="GFF4" s="80"/>
      <c r="GFG4" s="80"/>
      <c r="GFH4" s="80"/>
      <c r="GFI4" s="79"/>
      <c r="GFJ4" s="80"/>
      <c r="GFK4" s="80"/>
      <c r="GFL4" s="80"/>
      <c r="GFM4" s="79"/>
      <c r="GFN4" s="80"/>
      <c r="GFO4" s="80"/>
      <c r="GFP4" s="80"/>
      <c r="GFQ4" s="79"/>
      <c r="GFR4" s="80"/>
      <c r="GFS4" s="80"/>
      <c r="GFT4" s="80"/>
      <c r="GFU4" s="79"/>
      <c r="GFV4" s="80"/>
      <c r="GFW4" s="80"/>
      <c r="GFX4" s="80"/>
      <c r="GFY4" s="79"/>
      <c r="GFZ4" s="80"/>
      <c r="GGA4" s="80"/>
      <c r="GGB4" s="80"/>
      <c r="GGC4" s="79"/>
      <c r="GGD4" s="80"/>
      <c r="GGE4" s="80"/>
      <c r="GGF4" s="80"/>
      <c r="GGG4" s="79"/>
      <c r="GGH4" s="80"/>
      <c r="GGI4" s="80"/>
      <c r="GGJ4" s="80"/>
      <c r="GGK4" s="79"/>
      <c r="GGL4" s="80"/>
      <c r="GGM4" s="80"/>
      <c r="GGN4" s="80"/>
      <c r="GGO4" s="79"/>
      <c r="GGP4" s="80"/>
      <c r="GGQ4" s="80"/>
      <c r="GGR4" s="80"/>
      <c r="GGS4" s="79"/>
      <c r="GGT4" s="80"/>
      <c r="GGU4" s="80"/>
      <c r="GGV4" s="80"/>
      <c r="GGW4" s="79"/>
      <c r="GGX4" s="80"/>
      <c r="GGY4" s="80"/>
      <c r="GGZ4" s="80"/>
      <c r="GHA4" s="79"/>
      <c r="GHB4" s="80"/>
      <c r="GHC4" s="80"/>
      <c r="GHD4" s="80"/>
      <c r="GHE4" s="79"/>
      <c r="GHF4" s="80"/>
      <c r="GHG4" s="80"/>
      <c r="GHH4" s="80"/>
      <c r="GHI4" s="79"/>
      <c r="GHJ4" s="80"/>
      <c r="GHK4" s="80"/>
      <c r="GHL4" s="80"/>
      <c r="GHM4" s="79"/>
      <c r="GHN4" s="80"/>
      <c r="GHO4" s="80"/>
      <c r="GHP4" s="80"/>
      <c r="GHQ4" s="79"/>
      <c r="GHR4" s="80"/>
      <c r="GHS4" s="80"/>
      <c r="GHT4" s="80"/>
      <c r="GHU4" s="79"/>
      <c r="GHV4" s="80"/>
      <c r="GHW4" s="80"/>
      <c r="GHX4" s="80"/>
      <c r="GHY4" s="79"/>
      <c r="GHZ4" s="80"/>
      <c r="GIA4" s="80"/>
      <c r="GIB4" s="80"/>
      <c r="GIC4" s="79"/>
      <c r="GID4" s="80"/>
      <c r="GIE4" s="80"/>
      <c r="GIF4" s="80"/>
      <c r="GIG4" s="79"/>
      <c r="GIH4" s="80"/>
      <c r="GII4" s="80"/>
      <c r="GIJ4" s="80"/>
      <c r="GIK4" s="79"/>
      <c r="GIL4" s="80"/>
      <c r="GIM4" s="80"/>
      <c r="GIN4" s="80"/>
      <c r="GIO4" s="79"/>
      <c r="GIP4" s="80"/>
      <c r="GIQ4" s="80"/>
      <c r="GIR4" s="80"/>
      <c r="GIS4" s="79"/>
      <c r="GIT4" s="80"/>
      <c r="GIU4" s="80"/>
      <c r="GIV4" s="80"/>
      <c r="GIW4" s="79"/>
      <c r="GIX4" s="80"/>
      <c r="GIY4" s="80"/>
      <c r="GIZ4" s="80"/>
      <c r="GJA4" s="79"/>
      <c r="GJB4" s="80"/>
      <c r="GJC4" s="80"/>
      <c r="GJD4" s="80"/>
      <c r="GJE4" s="79"/>
      <c r="GJF4" s="80"/>
      <c r="GJG4" s="80"/>
      <c r="GJH4" s="80"/>
      <c r="GJI4" s="79"/>
      <c r="GJJ4" s="80"/>
      <c r="GJK4" s="80"/>
      <c r="GJL4" s="80"/>
      <c r="GJM4" s="79"/>
      <c r="GJN4" s="80"/>
      <c r="GJO4" s="80"/>
      <c r="GJP4" s="80"/>
      <c r="GJQ4" s="79"/>
      <c r="GJR4" s="80"/>
      <c r="GJS4" s="80"/>
      <c r="GJT4" s="80"/>
      <c r="GJU4" s="79"/>
      <c r="GJV4" s="80"/>
      <c r="GJW4" s="80"/>
      <c r="GJX4" s="80"/>
      <c r="GJY4" s="79"/>
      <c r="GJZ4" s="80"/>
      <c r="GKA4" s="80"/>
      <c r="GKB4" s="80"/>
      <c r="GKC4" s="79"/>
      <c r="GKD4" s="80"/>
      <c r="GKE4" s="80"/>
      <c r="GKF4" s="80"/>
      <c r="GKG4" s="79"/>
      <c r="GKH4" s="80"/>
      <c r="GKI4" s="80"/>
      <c r="GKJ4" s="80"/>
      <c r="GKK4" s="79"/>
      <c r="GKL4" s="80"/>
      <c r="GKM4" s="80"/>
      <c r="GKN4" s="80"/>
      <c r="GKO4" s="79"/>
      <c r="GKP4" s="80"/>
      <c r="GKQ4" s="80"/>
      <c r="GKR4" s="80"/>
      <c r="GKS4" s="79"/>
      <c r="GKT4" s="80"/>
      <c r="GKU4" s="80"/>
      <c r="GKV4" s="80"/>
      <c r="GKW4" s="79"/>
      <c r="GKX4" s="80"/>
      <c r="GKY4" s="80"/>
      <c r="GKZ4" s="80"/>
      <c r="GLA4" s="79"/>
      <c r="GLB4" s="80"/>
      <c r="GLC4" s="80"/>
      <c r="GLD4" s="80"/>
      <c r="GLE4" s="79"/>
      <c r="GLF4" s="80"/>
      <c r="GLG4" s="80"/>
      <c r="GLH4" s="80"/>
      <c r="GLI4" s="79"/>
      <c r="GLJ4" s="80"/>
      <c r="GLK4" s="80"/>
      <c r="GLL4" s="80"/>
      <c r="GLM4" s="79"/>
      <c r="GLN4" s="80"/>
      <c r="GLO4" s="80"/>
      <c r="GLP4" s="80"/>
      <c r="GLQ4" s="79"/>
      <c r="GLR4" s="80"/>
      <c r="GLS4" s="80"/>
      <c r="GLT4" s="80"/>
      <c r="GLU4" s="79"/>
      <c r="GLV4" s="80"/>
      <c r="GLW4" s="80"/>
      <c r="GLX4" s="80"/>
      <c r="GLY4" s="79"/>
      <c r="GLZ4" s="80"/>
      <c r="GMA4" s="80"/>
      <c r="GMB4" s="80"/>
      <c r="GMC4" s="79"/>
      <c r="GMD4" s="80"/>
      <c r="GME4" s="80"/>
      <c r="GMF4" s="80"/>
      <c r="GMG4" s="79"/>
      <c r="GMH4" s="80"/>
      <c r="GMI4" s="80"/>
      <c r="GMJ4" s="80"/>
      <c r="GMK4" s="79"/>
      <c r="GML4" s="80"/>
      <c r="GMM4" s="80"/>
      <c r="GMN4" s="80"/>
      <c r="GMO4" s="79"/>
      <c r="GMP4" s="80"/>
      <c r="GMQ4" s="80"/>
      <c r="GMR4" s="80"/>
      <c r="GMS4" s="79"/>
      <c r="GMT4" s="80"/>
      <c r="GMU4" s="80"/>
      <c r="GMV4" s="80"/>
      <c r="GMW4" s="79"/>
      <c r="GMX4" s="80"/>
      <c r="GMY4" s="80"/>
      <c r="GMZ4" s="80"/>
      <c r="GNA4" s="79"/>
      <c r="GNB4" s="80"/>
      <c r="GNC4" s="80"/>
      <c r="GND4" s="80"/>
      <c r="GNE4" s="79"/>
      <c r="GNF4" s="80"/>
      <c r="GNG4" s="80"/>
      <c r="GNH4" s="80"/>
      <c r="GNI4" s="79"/>
      <c r="GNJ4" s="80"/>
      <c r="GNK4" s="80"/>
      <c r="GNL4" s="80"/>
      <c r="GNM4" s="79"/>
      <c r="GNN4" s="80"/>
      <c r="GNO4" s="80"/>
      <c r="GNP4" s="80"/>
      <c r="GNQ4" s="79"/>
      <c r="GNR4" s="80"/>
      <c r="GNS4" s="80"/>
      <c r="GNT4" s="80"/>
      <c r="GNU4" s="79"/>
      <c r="GNV4" s="80"/>
      <c r="GNW4" s="80"/>
      <c r="GNX4" s="80"/>
      <c r="GNY4" s="79"/>
      <c r="GNZ4" s="80"/>
      <c r="GOA4" s="80"/>
      <c r="GOB4" s="80"/>
      <c r="GOC4" s="79"/>
      <c r="GOD4" s="80"/>
      <c r="GOE4" s="80"/>
      <c r="GOF4" s="80"/>
      <c r="GOG4" s="79"/>
      <c r="GOH4" s="80"/>
      <c r="GOI4" s="80"/>
      <c r="GOJ4" s="80"/>
      <c r="GOK4" s="79"/>
      <c r="GOL4" s="80"/>
      <c r="GOM4" s="80"/>
      <c r="GON4" s="80"/>
      <c r="GOO4" s="79"/>
      <c r="GOP4" s="80"/>
      <c r="GOQ4" s="80"/>
      <c r="GOR4" s="80"/>
      <c r="GOS4" s="79"/>
      <c r="GOT4" s="80"/>
      <c r="GOU4" s="80"/>
      <c r="GOV4" s="80"/>
      <c r="GOW4" s="79"/>
      <c r="GOX4" s="80"/>
      <c r="GOY4" s="80"/>
      <c r="GOZ4" s="80"/>
      <c r="GPA4" s="79"/>
      <c r="GPB4" s="80"/>
      <c r="GPC4" s="80"/>
      <c r="GPD4" s="80"/>
      <c r="GPE4" s="79"/>
      <c r="GPF4" s="80"/>
      <c r="GPG4" s="80"/>
      <c r="GPH4" s="80"/>
      <c r="GPI4" s="79"/>
      <c r="GPJ4" s="80"/>
      <c r="GPK4" s="80"/>
      <c r="GPL4" s="80"/>
      <c r="GPM4" s="79"/>
      <c r="GPN4" s="80"/>
      <c r="GPO4" s="80"/>
      <c r="GPP4" s="80"/>
      <c r="GPQ4" s="79"/>
      <c r="GPR4" s="80"/>
      <c r="GPS4" s="80"/>
      <c r="GPT4" s="80"/>
      <c r="GPU4" s="79"/>
      <c r="GPV4" s="80"/>
      <c r="GPW4" s="80"/>
      <c r="GPX4" s="80"/>
      <c r="GPY4" s="79"/>
      <c r="GPZ4" s="80"/>
      <c r="GQA4" s="80"/>
      <c r="GQB4" s="80"/>
      <c r="GQC4" s="79"/>
      <c r="GQD4" s="80"/>
      <c r="GQE4" s="80"/>
      <c r="GQF4" s="80"/>
      <c r="GQG4" s="79"/>
      <c r="GQH4" s="80"/>
      <c r="GQI4" s="80"/>
      <c r="GQJ4" s="80"/>
      <c r="GQK4" s="79"/>
      <c r="GQL4" s="80"/>
      <c r="GQM4" s="80"/>
      <c r="GQN4" s="80"/>
      <c r="GQO4" s="79"/>
      <c r="GQP4" s="80"/>
      <c r="GQQ4" s="80"/>
      <c r="GQR4" s="80"/>
      <c r="GQS4" s="79"/>
      <c r="GQT4" s="80"/>
      <c r="GQU4" s="80"/>
      <c r="GQV4" s="80"/>
      <c r="GQW4" s="79"/>
      <c r="GQX4" s="80"/>
      <c r="GQY4" s="80"/>
      <c r="GQZ4" s="80"/>
      <c r="GRA4" s="79"/>
      <c r="GRB4" s="80"/>
      <c r="GRC4" s="80"/>
      <c r="GRD4" s="80"/>
      <c r="GRE4" s="79"/>
      <c r="GRF4" s="80"/>
      <c r="GRG4" s="80"/>
      <c r="GRH4" s="80"/>
      <c r="GRI4" s="79"/>
      <c r="GRJ4" s="80"/>
      <c r="GRK4" s="80"/>
      <c r="GRL4" s="80"/>
      <c r="GRM4" s="79"/>
      <c r="GRN4" s="80"/>
      <c r="GRO4" s="80"/>
      <c r="GRP4" s="80"/>
      <c r="GRQ4" s="79"/>
      <c r="GRR4" s="80"/>
      <c r="GRS4" s="80"/>
      <c r="GRT4" s="80"/>
      <c r="GRU4" s="79"/>
      <c r="GRV4" s="80"/>
      <c r="GRW4" s="80"/>
      <c r="GRX4" s="80"/>
      <c r="GRY4" s="79"/>
      <c r="GRZ4" s="80"/>
      <c r="GSA4" s="80"/>
      <c r="GSB4" s="80"/>
      <c r="GSC4" s="79"/>
      <c r="GSD4" s="80"/>
      <c r="GSE4" s="80"/>
      <c r="GSF4" s="80"/>
      <c r="GSG4" s="79"/>
      <c r="GSH4" s="80"/>
      <c r="GSI4" s="80"/>
      <c r="GSJ4" s="80"/>
      <c r="GSK4" s="79"/>
      <c r="GSL4" s="80"/>
      <c r="GSM4" s="80"/>
      <c r="GSN4" s="80"/>
      <c r="GSO4" s="79"/>
      <c r="GSP4" s="80"/>
      <c r="GSQ4" s="80"/>
      <c r="GSR4" s="80"/>
      <c r="GSS4" s="79"/>
      <c r="GST4" s="80"/>
      <c r="GSU4" s="80"/>
      <c r="GSV4" s="80"/>
      <c r="GSW4" s="79"/>
      <c r="GSX4" s="80"/>
      <c r="GSY4" s="80"/>
      <c r="GSZ4" s="80"/>
      <c r="GTA4" s="79"/>
      <c r="GTB4" s="80"/>
      <c r="GTC4" s="80"/>
      <c r="GTD4" s="80"/>
      <c r="GTE4" s="79"/>
      <c r="GTF4" s="80"/>
      <c r="GTG4" s="80"/>
      <c r="GTH4" s="80"/>
      <c r="GTI4" s="79"/>
      <c r="GTJ4" s="80"/>
      <c r="GTK4" s="80"/>
      <c r="GTL4" s="80"/>
      <c r="GTM4" s="79"/>
      <c r="GTN4" s="80"/>
      <c r="GTO4" s="80"/>
      <c r="GTP4" s="80"/>
      <c r="GTQ4" s="79"/>
      <c r="GTR4" s="80"/>
      <c r="GTS4" s="80"/>
      <c r="GTT4" s="80"/>
      <c r="GTU4" s="79"/>
      <c r="GTV4" s="80"/>
      <c r="GTW4" s="80"/>
      <c r="GTX4" s="80"/>
      <c r="GTY4" s="79"/>
      <c r="GTZ4" s="80"/>
      <c r="GUA4" s="80"/>
      <c r="GUB4" s="80"/>
      <c r="GUC4" s="79"/>
      <c r="GUD4" s="80"/>
      <c r="GUE4" s="80"/>
      <c r="GUF4" s="80"/>
      <c r="GUG4" s="79"/>
      <c r="GUH4" s="80"/>
      <c r="GUI4" s="80"/>
      <c r="GUJ4" s="80"/>
      <c r="GUK4" s="79"/>
      <c r="GUL4" s="80"/>
      <c r="GUM4" s="80"/>
      <c r="GUN4" s="80"/>
      <c r="GUO4" s="79"/>
      <c r="GUP4" s="80"/>
      <c r="GUQ4" s="80"/>
      <c r="GUR4" s="80"/>
      <c r="GUS4" s="79"/>
      <c r="GUT4" s="80"/>
      <c r="GUU4" s="80"/>
      <c r="GUV4" s="80"/>
      <c r="GUW4" s="79"/>
      <c r="GUX4" s="80"/>
      <c r="GUY4" s="80"/>
      <c r="GUZ4" s="80"/>
      <c r="GVA4" s="79"/>
      <c r="GVB4" s="80"/>
      <c r="GVC4" s="80"/>
      <c r="GVD4" s="80"/>
      <c r="GVE4" s="79"/>
      <c r="GVF4" s="80"/>
      <c r="GVG4" s="80"/>
      <c r="GVH4" s="80"/>
      <c r="GVI4" s="79"/>
      <c r="GVJ4" s="80"/>
      <c r="GVK4" s="80"/>
      <c r="GVL4" s="80"/>
      <c r="GVM4" s="79"/>
      <c r="GVN4" s="80"/>
      <c r="GVO4" s="80"/>
      <c r="GVP4" s="80"/>
      <c r="GVQ4" s="79"/>
      <c r="GVR4" s="80"/>
      <c r="GVS4" s="80"/>
      <c r="GVT4" s="80"/>
      <c r="GVU4" s="79"/>
      <c r="GVV4" s="80"/>
      <c r="GVW4" s="80"/>
      <c r="GVX4" s="80"/>
      <c r="GVY4" s="79"/>
      <c r="GVZ4" s="80"/>
      <c r="GWA4" s="80"/>
      <c r="GWB4" s="80"/>
      <c r="GWC4" s="79"/>
      <c r="GWD4" s="80"/>
      <c r="GWE4" s="80"/>
      <c r="GWF4" s="80"/>
      <c r="GWG4" s="79"/>
      <c r="GWH4" s="80"/>
      <c r="GWI4" s="80"/>
      <c r="GWJ4" s="80"/>
      <c r="GWK4" s="79"/>
      <c r="GWL4" s="80"/>
      <c r="GWM4" s="80"/>
      <c r="GWN4" s="80"/>
      <c r="GWO4" s="79"/>
      <c r="GWP4" s="80"/>
      <c r="GWQ4" s="80"/>
      <c r="GWR4" s="80"/>
      <c r="GWS4" s="79"/>
      <c r="GWT4" s="80"/>
      <c r="GWU4" s="80"/>
      <c r="GWV4" s="80"/>
      <c r="GWW4" s="79"/>
      <c r="GWX4" s="80"/>
      <c r="GWY4" s="80"/>
      <c r="GWZ4" s="80"/>
      <c r="GXA4" s="79"/>
      <c r="GXB4" s="80"/>
      <c r="GXC4" s="80"/>
      <c r="GXD4" s="80"/>
      <c r="GXE4" s="79"/>
      <c r="GXF4" s="80"/>
      <c r="GXG4" s="80"/>
      <c r="GXH4" s="80"/>
      <c r="GXI4" s="79"/>
      <c r="GXJ4" s="80"/>
      <c r="GXK4" s="80"/>
      <c r="GXL4" s="80"/>
      <c r="GXM4" s="79"/>
      <c r="GXN4" s="80"/>
      <c r="GXO4" s="80"/>
      <c r="GXP4" s="80"/>
      <c r="GXQ4" s="79"/>
      <c r="GXR4" s="80"/>
      <c r="GXS4" s="80"/>
      <c r="GXT4" s="80"/>
      <c r="GXU4" s="79"/>
      <c r="GXV4" s="80"/>
      <c r="GXW4" s="80"/>
      <c r="GXX4" s="80"/>
      <c r="GXY4" s="79"/>
      <c r="GXZ4" s="80"/>
      <c r="GYA4" s="80"/>
      <c r="GYB4" s="80"/>
      <c r="GYC4" s="79"/>
      <c r="GYD4" s="80"/>
      <c r="GYE4" s="80"/>
      <c r="GYF4" s="80"/>
      <c r="GYG4" s="79"/>
      <c r="GYH4" s="80"/>
      <c r="GYI4" s="80"/>
      <c r="GYJ4" s="80"/>
      <c r="GYK4" s="79"/>
      <c r="GYL4" s="80"/>
      <c r="GYM4" s="80"/>
      <c r="GYN4" s="80"/>
      <c r="GYO4" s="79"/>
      <c r="GYP4" s="80"/>
      <c r="GYQ4" s="80"/>
      <c r="GYR4" s="80"/>
      <c r="GYS4" s="79"/>
      <c r="GYT4" s="80"/>
      <c r="GYU4" s="80"/>
      <c r="GYV4" s="80"/>
      <c r="GYW4" s="79"/>
      <c r="GYX4" s="80"/>
      <c r="GYY4" s="80"/>
      <c r="GYZ4" s="80"/>
      <c r="GZA4" s="79"/>
      <c r="GZB4" s="80"/>
      <c r="GZC4" s="80"/>
      <c r="GZD4" s="80"/>
      <c r="GZE4" s="79"/>
      <c r="GZF4" s="80"/>
      <c r="GZG4" s="80"/>
      <c r="GZH4" s="80"/>
      <c r="GZI4" s="79"/>
      <c r="GZJ4" s="80"/>
      <c r="GZK4" s="80"/>
      <c r="GZL4" s="80"/>
      <c r="GZM4" s="79"/>
      <c r="GZN4" s="80"/>
      <c r="GZO4" s="80"/>
      <c r="GZP4" s="80"/>
      <c r="GZQ4" s="79"/>
      <c r="GZR4" s="80"/>
      <c r="GZS4" s="80"/>
      <c r="GZT4" s="80"/>
      <c r="GZU4" s="79"/>
      <c r="GZV4" s="80"/>
      <c r="GZW4" s="80"/>
      <c r="GZX4" s="80"/>
      <c r="GZY4" s="79"/>
      <c r="GZZ4" s="80"/>
      <c r="HAA4" s="80"/>
      <c r="HAB4" s="80"/>
      <c r="HAC4" s="79"/>
      <c r="HAD4" s="80"/>
      <c r="HAE4" s="80"/>
      <c r="HAF4" s="80"/>
      <c r="HAG4" s="79"/>
      <c r="HAH4" s="80"/>
      <c r="HAI4" s="80"/>
      <c r="HAJ4" s="80"/>
      <c r="HAK4" s="79"/>
      <c r="HAL4" s="80"/>
      <c r="HAM4" s="80"/>
      <c r="HAN4" s="80"/>
      <c r="HAO4" s="79"/>
      <c r="HAP4" s="80"/>
      <c r="HAQ4" s="80"/>
      <c r="HAR4" s="80"/>
      <c r="HAS4" s="79"/>
      <c r="HAT4" s="80"/>
      <c r="HAU4" s="80"/>
      <c r="HAV4" s="80"/>
      <c r="HAW4" s="79"/>
      <c r="HAX4" s="80"/>
      <c r="HAY4" s="80"/>
      <c r="HAZ4" s="80"/>
      <c r="HBA4" s="79"/>
      <c r="HBB4" s="80"/>
      <c r="HBC4" s="80"/>
      <c r="HBD4" s="80"/>
      <c r="HBE4" s="79"/>
      <c r="HBF4" s="80"/>
      <c r="HBG4" s="80"/>
      <c r="HBH4" s="80"/>
      <c r="HBI4" s="79"/>
      <c r="HBJ4" s="80"/>
      <c r="HBK4" s="80"/>
      <c r="HBL4" s="80"/>
      <c r="HBM4" s="79"/>
      <c r="HBN4" s="80"/>
      <c r="HBO4" s="80"/>
      <c r="HBP4" s="80"/>
      <c r="HBQ4" s="79"/>
      <c r="HBR4" s="80"/>
      <c r="HBS4" s="80"/>
      <c r="HBT4" s="80"/>
      <c r="HBU4" s="79"/>
      <c r="HBV4" s="80"/>
      <c r="HBW4" s="80"/>
      <c r="HBX4" s="80"/>
      <c r="HBY4" s="79"/>
      <c r="HBZ4" s="80"/>
      <c r="HCA4" s="80"/>
      <c r="HCB4" s="80"/>
      <c r="HCC4" s="79"/>
      <c r="HCD4" s="80"/>
      <c r="HCE4" s="80"/>
      <c r="HCF4" s="80"/>
      <c r="HCG4" s="79"/>
      <c r="HCH4" s="80"/>
      <c r="HCI4" s="80"/>
      <c r="HCJ4" s="80"/>
      <c r="HCK4" s="79"/>
      <c r="HCL4" s="80"/>
      <c r="HCM4" s="80"/>
      <c r="HCN4" s="80"/>
      <c r="HCO4" s="79"/>
      <c r="HCP4" s="80"/>
      <c r="HCQ4" s="80"/>
      <c r="HCR4" s="80"/>
      <c r="HCS4" s="79"/>
      <c r="HCT4" s="80"/>
      <c r="HCU4" s="80"/>
      <c r="HCV4" s="80"/>
      <c r="HCW4" s="79"/>
      <c r="HCX4" s="80"/>
      <c r="HCY4" s="80"/>
      <c r="HCZ4" s="80"/>
      <c r="HDA4" s="79"/>
      <c r="HDB4" s="80"/>
      <c r="HDC4" s="80"/>
      <c r="HDD4" s="80"/>
      <c r="HDE4" s="79"/>
      <c r="HDF4" s="80"/>
      <c r="HDG4" s="80"/>
      <c r="HDH4" s="80"/>
      <c r="HDI4" s="79"/>
      <c r="HDJ4" s="80"/>
      <c r="HDK4" s="80"/>
      <c r="HDL4" s="80"/>
      <c r="HDM4" s="79"/>
      <c r="HDN4" s="80"/>
      <c r="HDO4" s="80"/>
      <c r="HDP4" s="80"/>
      <c r="HDQ4" s="79"/>
      <c r="HDR4" s="80"/>
      <c r="HDS4" s="80"/>
      <c r="HDT4" s="80"/>
      <c r="HDU4" s="79"/>
      <c r="HDV4" s="80"/>
      <c r="HDW4" s="80"/>
      <c r="HDX4" s="80"/>
      <c r="HDY4" s="79"/>
      <c r="HDZ4" s="80"/>
      <c r="HEA4" s="80"/>
      <c r="HEB4" s="80"/>
      <c r="HEC4" s="79"/>
      <c r="HED4" s="80"/>
      <c r="HEE4" s="80"/>
      <c r="HEF4" s="80"/>
      <c r="HEG4" s="79"/>
      <c r="HEH4" s="80"/>
      <c r="HEI4" s="80"/>
      <c r="HEJ4" s="80"/>
      <c r="HEK4" s="79"/>
      <c r="HEL4" s="80"/>
      <c r="HEM4" s="80"/>
      <c r="HEN4" s="80"/>
      <c r="HEO4" s="79"/>
      <c r="HEP4" s="80"/>
      <c r="HEQ4" s="80"/>
      <c r="HER4" s="80"/>
      <c r="HES4" s="79"/>
      <c r="HET4" s="80"/>
      <c r="HEU4" s="80"/>
      <c r="HEV4" s="80"/>
      <c r="HEW4" s="79"/>
      <c r="HEX4" s="80"/>
      <c r="HEY4" s="80"/>
      <c r="HEZ4" s="80"/>
      <c r="HFA4" s="79"/>
      <c r="HFB4" s="80"/>
      <c r="HFC4" s="80"/>
      <c r="HFD4" s="80"/>
      <c r="HFE4" s="79"/>
      <c r="HFF4" s="80"/>
      <c r="HFG4" s="80"/>
      <c r="HFH4" s="80"/>
      <c r="HFI4" s="79"/>
      <c r="HFJ4" s="80"/>
      <c r="HFK4" s="80"/>
      <c r="HFL4" s="80"/>
      <c r="HFM4" s="79"/>
      <c r="HFN4" s="80"/>
      <c r="HFO4" s="80"/>
      <c r="HFP4" s="80"/>
      <c r="HFQ4" s="79"/>
      <c r="HFR4" s="80"/>
      <c r="HFS4" s="80"/>
      <c r="HFT4" s="80"/>
      <c r="HFU4" s="79"/>
      <c r="HFV4" s="80"/>
      <c r="HFW4" s="80"/>
      <c r="HFX4" s="80"/>
      <c r="HFY4" s="79"/>
      <c r="HFZ4" s="80"/>
      <c r="HGA4" s="80"/>
      <c r="HGB4" s="80"/>
      <c r="HGC4" s="79"/>
      <c r="HGD4" s="80"/>
      <c r="HGE4" s="80"/>
      <c r="HGF4" s="80"/>
      <c r="HGG4" s="79"/>
      <c r="HGH4" s="80"/>
      <c r="HGI4" s="80"/>
      <c r="HGJ4" s="80"/>
      <c r="HGK4" s="79"/>
      <c r="HGL4" s="80"/>
      <c r="HGM4" s="80"/>
      <c r="HGN4" s="80"/>
      <c r="HGO4" s="79"/>
      <c r="HGP4" s="80"/>
      <c r="HGQ4" s="80"/>
      <c r="HGR4" s="80"/>
      <c r="HGS4" s="79"/>
      <c r="HGT4" s="80"/>
      <c r="HGU4" s="80"/>
      <c r="HGV4" s="80"/>
      <c r="HGW4" s="79"/>
      <c r="HGX4" s="80"/>
      <c r="HGY4" s="80"/>
      <c r="HGZ4" s="80"/>
      <c r="HHA4" s="79"/>
      <c r="HHB4" s="80"/>
      <c r="HHC4" s="80"/>
      <c r="HHD4" s="80"/>
      <c r="HHE4" s="79"/>
      <c r="HHF4" s="80"/>
      <c r="HHG4" s="80"/>
      <c r="HHH4" s="80"/>
      <c r="HHI4" s="79"/>
      <c r="HHJ4" s="80"/>
      <c r="HHK4" s="80"/>
      <c r="HHL4" s="80"/>
      <c r="HHM4" s="79"/>
      <c r="HHN4" s="80"/>
      <c r="HHO4" s="80"/>
      <c r="HHP4" s="80"/>
      <c r="HHQ4" s="79"/>
      <c r="HHR4" s="80"/>
      <c r="HHS4" s="80"/>
      <c r="HHT4" s="80"/>
      <c r="HHU4" s="79"/>
      <c r="HHV4" s="80"/>
      <c r="HHW4" s="80"/>
      <c r="HHX4" s="80"/>
      <c r="HHY4" s="79"/>
      <c r="HHZ4" s="80"/>
      <c r="HIA4" s="80"/>
      <c r="HIB4" s="80"/>
      <c r="HIC4" s="79"/>
      <c r="HID4" s="80"/>
      <c r="HIE4" s="80"/>
      <c r="HIF4" s="80"/>
      <c r="HIG4" s="79"/>
      <c r="HIH4" s="80"/>
      <c r="HII4" s="80"/>
      <c r="HIJ4" s="80"/>
      <c r="HIK4" s="79"/>
      <c r="HIL4" s="80"/>
      <c r="HIM4" s="80"/>
      <c r="HIN4" s="80"/>
      <c r="HIO4" s="79"/>
      <c r="HIP4" s="80"/>
      <c r="HIQ4" s="80"/>
      <c r="HIR4" s="80"/>
      <c r="HIS4" s="79"/>
      <c r="HIT4" s="80"/>
      <c r="HIU4" s="80"/>
      <c r="HIV4" s="80"/>
      <c r="HIW4" s="79"/>
      <c r="HIX4" s="80"/>
      <c r="HIY4" s="80"/>
      <c r="HIZ4" s="80"/>
      <c r="HJA4" s="79"/>
      <c r="HJB4" s="80"/>
      <c r="HJC4" s="80"/>
      <c r="HJD4" s="80"/>
      <c r="HJE4" s="79"/>
      <c r="HJF4" s="80"/>
      <c r="HJG4" s="80"/>
      <c r="HJH4" s="80"/>
      <c r="HJI4" s="79"/>
      <c r="HJJ4" s="80"/>
      <c r="HJK4" s="80"/>
      <c r="HJL4" s="80"/>
      <c r="HJM4" s="79"/>
      <c r="HJN4" s="80"/>
      <c r="HJO4" s="80"/>
      <c r="HJP4" s="80"/>
      <c r="HJQ4" s="79"/>
      <c r="HJR4" s="80"/>
      <c r="HJS4" s="80"/>
      <c r="HJT4" s="80"/>
      <c r="HJU4" s="79"/>
      <c r="HJV4" s="80"/>
      <c r="HJW4" s="80"/>
      <c r="HJX4" s="80"/>
      <c r="HJY4" s="79"/>
      <c r="HJZ4" s="80"/>
      <c r="HKA4" s="80"/>
      <c r="HKB4" s="80"/>
      <c r="HKC4" s="79"/>
      <c r="HKD4" s="80"/>
      <c r="HKE4" s="80"/>
      <c r="HKF4" s="80"/>
      <c r="HKG4" s="79"/>
      <c r="HKH4" s="80"/>
      <c r="HKI4" s="80"/>
      <c r="HKJ4" s="80"/>
      <c r="HKK4" s="79"/>
      <c r="HKL4" s="80"/>
      <c r="HKM4" s="80"/>
      <c r="HKN4" s="80"/>
      <c r="HKO4" s="79"/>
      <c r="HKP4" s="80"/>
      <c r="HKQ4" s="80"/>
      <c r="HKR4" s="80"/>
      <c r="HKS4" s="79"/>
      <c r="HKT4" s="80"/>
      <c r="HKU4" s="80"/>
      <c r="HKV4" s="80"/>
      <c r="HKW4" s="79"/>
      <c r="HKX4" s="80"/>
      <c r="HKY4" s="80"/>
      <c r="HKZ4" s="80"/>
      <c r="HLA4" s="79"/>
      <c r="HLB4" s="80"/>
      <c r="HLC4" s="80"/>
      <c r="HLD4" s="80"/>
      <c r="HLE4" s="79"/>
      <c r="HLF4" s="80"/>
      <c r="HLG4" s="80"/>
      <c r="HLH4" s="80"/>
      <c r="HLI4" s="79"/>
      <c r="HLJ4" s="80"/>
      <c r="HLK4" s="80"/>
      <c r="HLL4" s="80"/>
      <c r="HLM4" s="79"/>
      <c r="HLN4" s="80"/>
      <c r="HLO4" s="80"/>
      <c r="HLP4" s="80"/>
      <c r="HLQ4" s="79"/>
      <c r="HLR4" s="80"/>
      <c r="HLS4" s="80"/>
      <c r="HLT4" s="80"/>
      <c r="HLU4" s="79"/>
      <c r="HLV4" s="80"/>
      <c r="HLW4" s="80"/>
      <c r="HLX4" s="80"/>
      <c r="HLY4" s="79"/>
      <c r="HLZ4" s="80"/>
      <c r="HMA4" s="80"/>
      <c r="HMB4" s="80"/>
      <c r="HMC4" s="79"/>
      <c r="HMD4" s="80"/>
      <c r="HME4" s="80"/>
      <c r="HMF4" s="80"/>
      <c r="HMG4" s="79"/>
      <c r="HMH4" s="80"/>
      <c r="HMI4" s="80"/>
      <c r="HMJ4" s="80"/>
      <c r="HMK4" s="79"/>
      <c r="HML4" s="80"/>
      <c r="HMM4" s="80"/>
      <c r="HMN4" s="80"/>
      <c r="HMO4" s="79"/>
      <c r="HMP4" s="80"/>
      <c r="HMQ4" s="80"/>
      <c r="HMR4" s="80"/>
      <c r="HMS4" s="79"/>
      <c r="HMT4" s="80"/>
      <c r="HMU4" s="80"/>
      <c r="HMV4" s="80"/>
      <c r="HMW4" s="79"/>
      <c r="HMX4" s="80"/>
      <c r="HMY4" s="80"/>
      <c r="HMZ4" s="80"/>
      <c r="HNA4" s="79"/>
      <c r="HNB4" s="80"/>
      <c r="HNC4" s="80"/>
      <c r="HND4" s="80"/>
      <c r="HNE4" s="79"/>
      <c r="HNF4" s="80"/>
      <c r="HNG4" s="80"/>
      <c r="HNH4" s="80"/>
      <c r="HNI4" s="79"/>
      <c r="HNJ4" s="80"/>
      <c r="HNK4" s="80"/>
      <c r="HNL4" s="80"/>
      <c r="HNM4" s="79"/>
      <c r="HNN4" s="80"/>
      <c r="HNO4" s="80"/>
      <c r="HNP4" s="80"/>
      <c r="HNQ4" s="79"/>
      <c r="HNR4" s="80"/>
      <c r="HNS4" s="80"/>
      <c r="HNT4" s="80"/>
      <c r="HNU4" s="79"/>
      <c r="HNV4" s="80"/>
      <c r="HNW4" s="80"/>
      <c r="HNX4" s="80"/>
      <c r="HNY4" s="79"/>
      <c r="HNZ4" s="80"/>
      <c r="HOA4" s="80"/>
      <c r="HOB4" s="80"/>
      <c r="HOC4" s="79"/>
      <c r="HOD4" s="80"/>
      <c r="HOE4" s="80"/>
      <c r="HOF4" s="80"/>
      <c r="HOG4" s="79"/>
      <c r="HOH4" s="80"/>
      <c r="HOI4" s="80"/>
      <c r="HOJ4" s="80"/>
      <c r="HOK4" s="79"/>
      <c r="HOL4" s="80"/>
      <c r="HOM4" s="80"/>
      <c r="HON4" s="80"/>
      <c r="HOO4" s="79"/>
      <c r="HOP4" s="80"/>
      <c r="HOQ4" s="80"/>
      <c r="HOR4" s="80"/>
      <c r="HOS4" s="79"/>
      <c r="HOT4" s="80"/>
      <c r="HOU4" s="80"/>
      <c r="HOV4" s="80"/>
      <c r="HOW4" s="79"/>
      <c r="HOX4" s="80"/>
      <c r="HOY4" s="80"/>
      <c r="HOZ4" s="80"/>
      <c r="HPA4" s="79"/>
      <c r="HPB4" s="80"/>
      <c r="HPC4" s="80"/>
      <c r="HPD4" s="80"/>
      <c r="HPE4" s="79"/>
      <c r="HPF4" s="80"/>
      <c r="HPG4" s="80"/>
      <c r="HPH4" s="80"/>
      <c r="HPI4" s="79"/>
      <c r="HPJ4" s="80"/>
      <c r="HPK4" s="80"/>
      <c r="HPL4" s="80"/>
      <c r="HPM4" s="79"/>
      <c r="HPN4" s="80"/>
      <c r="HPO4" s="80"/>
      <c r="HPP4" s="80"/>
      <c r="HPQ4" s="79"/>
      <c r="HPR4" s="80"/>
      <c r="HPS4" s="80"/>
      <c r="HPT4" s="80"/>
      <c r="HPU4" s="79"/>
      <c r="HPV4" s="80"/>
      <c r="HPW4" s="80"/>
      <c r="HPX4" s="80"/>
      <c r="HPY4" s="79"/>
      <c r="HPZ4" s="80"/>
      <c r="HQA4" s="80"/>
      <c r="HQB4" s="80"/>
      <c r="HQC4" s="79"/>
      <c r="HQD4" s="80"/>
      <c r="HQE4" s="80"/>
      <c r="HQF4" s="80"/>
      <c r="HQG4" s="79"/>
      <c r="HQH4" s="80"/>
      <c r="HQI4" s="80"/>
      <c r="HQJ4" s="80"/>
      <c r="HQK4" s="79"/>
      <c r="HQL4" s="80"/>
      <c r="HQM4" s="80"/>
      <c r="HQN4" s="80"/>
      <c r="HQO4" s="79"/>
      <c r="HQP4" s="80"/>
      <c r="HQQ4" s="80"/>
      <c r="HQR4" s="80"/>
      <c r="HQS4" s="79"/>
      <c r="HQT4" s="80"/>
      <c r="HQU4" s="80"/>
      <c r="HQV4" s="80"/>
      <c r="HQW4" s="79"/>
      <c r="HQX4" s="80"/>
      <c r="HQY4" s="80"/>
      <c r="HQZ4" s="80"/>
      <c r="HRA4" s="79"/>
      <c r="HRB4" s="80"/>
      <c r="HRC4" s="80"/>
      <c r="HRD4" s="80"/>
      <c r="HRE4" s="79"/>
      <c r="HRF4" s="80"/>
      <c r="HRG4" s="80"/>
      <c r="HRH4" s="80"/>
      <c r="HRI4" s="79"/>
      <c r="HRJ4" s="80"/>
      <c r="HRK4" s="80"/>
      <c r="HRL4" s="80"/>
      <c r="HRM4" s="79"/>
      <c r="HRN4" s="80"/>
      <c r="HRO4" s="80"/>
      <c r="HRP4" s="80"/>
      <c r="HRQ4" s="79"/>
      <c r="HRR4" s="80"/>
      <c r="HRS4" s="80"/>
      <c r="HRT4" s="80"/>
      <c r="HRU4" s="79"/>
      <c r="HRV4" s="80"/>
      <c r="HRW4" s="80"/>
      <c r="HRX4" s="80"/>
      <c r="HRY4" s="79"/>
      <c r="HRZ4" s="80"/>
      <c r="HSA4" s="80"/>
      <c r="HSB4" s="80"/>
      <c r="HSC4" s="79"/>
      <c r="HSD4" s="80"/>
      <c r="HSE4" s="80"/>
      <c r="HSF4" s="80"/>
      <c r="HSG4" s="79"/>
      <c r="HSH4" s="80"/>
      <c r="HSI4" s="80"/>
      <c r="HSJ4" s="80"/>
      <c r="HSK4" s="79"/>
      <c r="HSL4" s="80"/>
      <c r="HSM4" s="80"/>
      <c r="HSN4" s="80"/>
      <c r="HSO4" s="79"/>
      <c r="HSP4" s="80"/>
      <c r="HSQ4" s="80"/>
      <c r="HSR4" s="80"/>
      <c r="HSS4" s="79"/>
      <c r="HST4" s="80"/>
      <c r="HSU4" s="80"/>
      <c r="HSV4" s="80"/>
      <c r="HSW4" s="79"/>
      <c r="HSX4" s="80"/>
      <c r="HSY4" s="80"/>
      <c r="HSZ4" s="80"/>
      <c r="HTA4" s="79"/>
      <c r="HTB4" s="80"/>
      <c r="HTC4" s="80"/>
      <c r="HTD4" s="80"/>
      <c r="HTE4" s="79"/>
      <c r="HTF4" s="80"/>
      <c r="HTG4" s="80"/>
      <c r="HTH4" s="80"/>
      <c r="HTI4" s="79"/>
      <c r="HTJ4" s="80"/>
      <c r="HTK4" s="80"/>
      <c r="HTL4" s="80"/>
      <c r="HTM4" s="79"/>
      <c r="HTN4" s="80"/>
      <c r="HTO4" s="80"/>
      <c r="HTP4" s="80"/>
      <c r="HTQ4" s="79"/>
      <c r="HTR4" s="80"/>
      <c r="HTS4" s="80"/>
      <c r="HTT4" s="80"/>
      <c r="HTU4" s="79"/>
      <c r="HTV4" s="80"/>
      <c r="HTW4" s="80"/>
      <c r="HTX4" s="80"/>
      <c r="HTY4" s="79"/>
      <c r="HTZ4" s="80"/>
      <c r="HUA4" s="80"/>
      <c r="HUB4" s="80"/>
      <c r="HUC4" s="79"/>
      <c r="HUD4" s="80"/>
      <c r="HUE4" s="80"/>
      <c r="HUF4" s="80"/>
      <c r="HUG4" s="79"/>
      <c r="HUH4" s="80"/>
      <c r="HUI4" s="80"/>
      <c r="HUJ4" s="80"/>
      <c r="HUK4" s="79"/>
      <c r="HUL4" s="80"/>
      <c r="HUM4" s="80"/>
      <c r="HUN4" s="80"/>
      <c r="HUO4" s="79"/>
      <c r="HUP4" s="80"/>
      <c r="HUQ4" s="80"/>
      <c r="HUR4" s="80"/>
      <c r="HUS4" s="79"/>
      <c r="HUT4" s="80"/>
      <c r="HUU4" s="80"/>
      <c r="HUV4" s="80"/>
      <c r="HUW4" s="79"/>
      <c r="HUX4" s="80"/>
      <c r="HUY4" s="80"/>
      <c r="HUZ4" s="80"/>
      <c r="HVA4" s="79"/>
      <c r="HVB4" s="80"/>
      <c r="HVC4" s="80"/>
      <c r="HVD4" s="80"/>
      <c r="HVE4" s="79"/>
      <c r="HVF4" s="80"/>
      <c r="HVG4" s="80"/>
      <c r="HVH4" s="80"/>
      <c r="HVI4" s="79"/>
      <c r="HVJ4" s="80"/>
      <c r="HVK4" s="80"/>
      <c r="HVL4" s="80"/>
      <c r="HVM4" s="79"/>
      <c r="HVN4" s="80"/>
      <c r="HVO4" s="80"/>
      <c r="HVP4" s="80"/>
      <c r="HVQ4" s="79"/>
      <c r="HVR4" s="80"/>
      <c r="HVS4" s="80"/>
      <c r="HVT4" s="80"/>
      <c r="HVU4" s="79"/>
      <c r="HVV4" s="80"/>
      <c r="HVW4" s="80"/>
      <c r="HVX4" s="80"/>
      <c r="HVY4" s="79"/>
      <c r="HVZ4" s="80"/>
      <c r="HWA4" s="80"/>
      <c r="HWB4" s="80"/>
      <c r="HWC4" s="79"/>
      <c r="HWD4" s="80"/>
      <c r="HWE4" s="80"/>
      <c r="HWF4" s="80"/>
      <c r="HWG4" s="79"/>
      <c r="HWH4" s="80"/>
      <c r="HWI4" s="80"/>
      <c r="HWJ4" s="80"/>
      <c r="HWK4" s="79"/>
      <c r="HWL4" s="80"/>
      <c r="HWM4" s="80"/>
      <c r="HWN4" s="80"/>
      <c r="HWO4" s="79"/>
      <c r="HWP4" s="80"/>
      <c r="HWQ4" s="80"/>
      <c r="HWR4" s="80"/>
      <c r="HWS4" s="79"/>
      <c r="HWT4" s="80"/>
      <c r="HWU4" s="80"/>
      <c r="HWV4" s="80"/>
      <c r="HWW4" s="79"/>
      <c r="HWX4" s="80"/>
      <c r="HWY4" s="80"/>
      <c r="HWZ4" s="80"/>
      <c r="HXA4" s="79"/>
      <c r="HXB4" s="80"/>
      <c r="HXC4" s="80"/>
      <c r="HXD4" s="80"/>
      <c r="HXE4" s="79"/>
      <c r="HXF4" s="80"/>
      <c r="HXG4" s="80"/>
      <c r="HXH4" s="80"/>
      <c r="HXI4" s="79"/>
      <c r="HXJ4" s="80"/>
      <c r="HXK4" s="80"/>
      <c r="HXL4" s="80"/>
      <c r="HXM4" s="79"/>
      <c r="HXN4" s="80"/>
      <c r="HXO4" s="80"/>
      <c r="HXP4" s="80"/>
      <c r="HXQ4" s="79"/>
      <c r="HXR4" s="80"/>
      <c r="HXS4" s="80"/>
      <c r="HXT4" s="80"/>
      <c r="HXU4" s="79"/>
      <c r="HXV4" s="80"/>
      <c r="HXW4" s="80"/>
      <c r="HXX4" s="80"/>
      <c r="HXY4" s="79"/>
      <c r="HXZ4" s="80"/>
      <c r="HYA4" s="80"/>
      <c r="HYB4" s="80"/>
      <c r="HYC4" s="79"/>
      <c r="HYD4" s="80"/>
      <c r="HYE4" s="80"/>
      <c r="HYF4" s="80"/>
      <c r="HYG4" s="79"/>
      <c r="HYH4" s="80"/>
      <c r="HYI4" s="80"/>
      <c r="HYJ4" s="80"/>
      <c r="HYK4" s="79"/>
      <c r="HYL4" s="80"/>
      <c r="HYM4" s="80"/>
      <c r="HYN4" s="80"/>
      <c r="HYO4" s="79"/>
      <c r="HYP4" s="80"/>
      <c r="HYQ4" s="80"/>
      <c r="HYR4" s="80"/>
      <c r="HYS4" s="79"/>
      <c r="HYT4" s="80"/>
      <c r="HYU4" s="80"/>
      <c r="HYV4" s="80"/>
      <c r="HYW4" s="79"/>
      <c r="HYX4" s="80"/>
      <c r="HYY4" s="80"/>
      <c r="HYZ4" s="80"/>
      <c r="HZA4" s="79"/>
      <c r="HZB4" s="80"/>
      <c r="HZC4" s="80"/>
      <c r="HZD4" s="80"/>
      <c r="HZE4" s="79"/>
      <c r="HZF4" s="80"/>
      <c r="HZG4" s="80"/>
      <c r="HZH4" s="80"/>
      <c r="HZI4" s="79"/>
      <c r="HZJ4" s="80"/>
      <c r="HZK4" s="80"/>
      <c r="HZL4" s="80"/>
      <c r="HZM4" s="79"/>
      <c r="HZN4" s="80"/>
      <c r="HZO4" s="80"/>
      <c r="HZP4" s="80"/>
      <c r="HZQ4" s="79"/>
      <c r="HZR4" s="80"/>
      <c r="HZS4" s="80"/>
      <c r="HZT4" s="80"/>
      <c r="HZU4" s="79"/>
      <c r="HZV4" s="80"/>
      <c r="HZW4" s="80"/>
      <c r="HZX4" s="80"/>
      <c r="HZY4" s="79"/>
      <c r="HZZ4" s="80"/>
      <c r="IAA4" s="80"/>
      <c r="IAB4" s="80"/>
      <c r="IAC4" s="79"/>
      <c r="IAD4" s="80"/>
      <c r="IAE4" s="80"/>
      <c r="IAF4" s="80"/>
      <c r="IAG4" s="79"/>
      <c r="IAH4" s="80"/>
      <c r="IAI4" s="80"/>
      <c r="IAJ4" s="80"/>
      <c r="IAK4" s="79"/>
      <c r="IAL4" s="80"/>
      <c r="IAM4" s="80"/>
      <c r="IAN4" s="80"/>
      <c r="IAO4" s="79"/>
      <c r="IAP4" s="80"/>
      <c r="IAQ4" s="80"/>
      <c r="IAR4" s="80"/>
      <c r="IAS4" s="79"/>
      <c r="IAT4" s="80"/>
      <c r="IAU4" s="80"/>
      <c r="IAV4" s="80"/>
      <c r="IAW4" s="79"/>
      <c r="IAX4" s="80"/>
      <c r="IAY4" s="80"/>
      <c r="IAZ4" s="80"/>
      <c r="IBA4" s="79"/>
      <c r="IBB4" s="80"/>
      <c r="IBC4" s="80"/>
      <c r="IBD4" s="80"/>
      <c r="IBE4" s="79"/>
      <c r="IBF4" s="80"/>
      <c r="IBG4" s="80"/>
      <c r="IBH4" s="80"/>
      <c r="IBI4" s="79"/>
      <c r="IBJ4" s="80"/>
      <c r="IBK4" s="80"/>
      <c r="IBL4" s="80"/>
      <c r="IBM4" s="79"/>
      <c r="IBN4" s="80"/>
      <c r="IBO4" s="80"/>
      <c r="IBP4" s="80"/>
      <c r="IBQ4" s="79"/>
      <c r="IBR4" s="80"/>
      <c r="IBS4" s="80"/>
      <c r="IBT4" s="80"/>
      <c r="IBU4" s="79"/>
      <c r="IBV4" s="80"/>
      <c r="IBW4" s="80"/>
      <c r="IBX4" s="80"/>
      <c r="IBY4" s="79"/>
      <c r="IBZ4" s="80"/>
      <c r="ICA4" s="80"/>
      <c r="ICB4" s="80"/>
      <c r="ICC4" s="79"/>
      <c r="ICD4" s="80"/>
      <c r="ICE4" s="80"/>
      <c r="ICF4" s="80"/>
      <c r="ICG4" s="79"/>
      <c r="ICH4" s="80"/>
      <c r="ICI4" s="80"/>
      <c r="ICJ4" s="80"/>
      <c r="ICK4" s="79"/>
      <c r="ICL4" s="80"/>
      <c r="ICM4" s="80"/>
      <c r="ICN4" s="80"/>
      <c r="ICO4" s="79"/>
      <c r="ICP4" s="80"/>
      <c r="ICQ4" s="80"/>
      <c r="ICR4" s="80"/>
      <c r="ICS4" s="79"/>
      <c r="ICT4" s="80"/>
      <c r="ICU4" s="80"/>
      <c r="ICV4" s="80"/>
      <c r="ICW4" s="79"/>
      <c r="ICX4" s="80"/>
      <c r="ICY4" s="80"/>
      <c r="ICZ4" s="80"/>
      <c r="IDA4" s="79"/>
      <c r="IDB4" s="80"/>
      <c r="IDC4" s="80"/>
      <c r="IDD4" s="80"/>
      <c r="IDE4" s="79"/>
      <c r="IDF4" s="80"/>
      <c r="IDG4" s="80"/>
      <c r="IDH4" s="80"/>
      <c r="IDI4" s="79"/>
      <c r="IDJ4" s="80"/>
      <c r="IDK4" s="80"/>
      <c r="IDL4" s="80"/>
      <c r="IDM4" s="79"/>
      <c r="IDN4" s="80"/>
      <c r="IDO4" s="80"/>
      <c r="IDP4" s="80"/>
      <c r="IDQ4" s="79"/>
      <c r="IDR4" s="80"/>
      <c r="IDS4" s="80"/>
      <c r="IDT4" s="80"/>
      <c r="IDU4" s="79"/>
      <c r="IDV4" s="80"/>
      <c r="IDW4" s="80"/>
      <c r="IDX4" s="80"/>
      <c r="IDY4" s="79"/>
      <c r="IDZ4" s="80"/>
      <c r="IEA4" s="80"/>
      <c r="IEB4" s="80"/>
      <c r="IEC4" s="79"/>
      <c r="IED4" s="80"/>
      <c r="IEE4" s="80"/>
      <c r="IEF4" s="80"/>
      <c r="IEG4" s="79"/>
      <c r="IEH4" s="80"/>
      <c r="IEI4" s="80"/>
      <c r="IEJ4" s="80"/>
      <c r="IEK4" s="79"/>
      <c r="IEL4" s="80"/>
      <c r="IEM4" s="80"/>
      <c r="IEN4" s="80"/>
      <c r="IEO4" s="79"/>
      <c r="IEP4" s="80"/>
      <c r="IEQ4" s="80"/>
      <c r="IER4" s="80"/>
      <c r="IES4" s="79"/>
      <c r="IET4" s="80"/>
      <c r="IEU4" s="80"/>
      <c r="IEV4" s="80"/>
      <c r="IEW4" s="79"/>
      <c r="IEX4" s="80"/>
      <c r="IEY4" s="80"/>
      <c r="IEZ4" s="80"/>
      <c r="IFA4" s="79"/>
      <c r="IFB4" s="80"/>
      <c r="IFC4" s="80"/>
      <c r="IFD4" s="80"/>
      <c r="IFE4" s="79"/>
      <c r="IFF4" s="80"/>
      <c r="IFG4" s="80"/>
      <c r="IFH4" s="80"/>
      <c r="IFI4" s="79"/>
      <c r="IFJ4" s="80"/>
      <c r="IFK4" s="80"/>
      <c r="IFL4" s="80"/>
      <c r="IFM4" s="79"/>
      <c r="IFN4" s="80"/>
      <c r="IFO4" s="80"/>
      <c r="IFP4" s="80"/>
      <c r="IFQ4" s="79"/>
      <c r="IFR4" s="80"/>
      <c r="IFS4" s="80"/>
      <c r="IFT4" s="80"/>
      <c r="IFU4" s="79"/>
      <c r="IFV4" s="80"/>
      <c r="IFW4" s="80"/>
      <c r="IFX4" s="80"/>
      <c r="IFY4" s="79"/>
      <c r="IFZ4" s="80"/>
      <c r="IGA4" s="80"/>
      <c r="IGB4" s="80"/>
      <c r="IGC4" s="79"/>
      <c r="IGD4" s="80"/>
      <c r="IGE4" s="80"/>
      <c r="IGF4" s="80"/>
      <c r="IGG4" s="79"/>
      <c r="IGH4" s="80"/>
      <c r="IGI4" s="80"/>
      <c r="IGJ4" s="80"/>
      <c r="IGK4" s="79"/>
      <c r="IGL4" s="80"/>
      <c r="IGM4" s="80"/>
      <c r="IGN4" s="80"/>
      <c r="IGO4" s="79"/>
      <c r="IGP4" s="80"/>
      <c r="IGQ4" s="80"/>
      <c r="IGR4" s="80"/>
      <c r="IGS4" s="79"/>
      <c r="IGT4" s="80"/>
      <c r="IGU4" s="80"/>
      <c r="IGV4" s="80"/>
      <c r="IGW4" s="79"/>
      <c r="IGX4" s="80"/>
      <c r="IGY4" s="80"/>
      <c r="IGZ4" s="80"/>
      <c r="IHA4" s="79"/>
      <c r="IHB4" s="80"/>
      <c r="IHC4" s="80"/>
      <c r="IHD4" s="80"/>
      <c r="IHE4" s="79"/>
      <c r="IHF4" s="80"/>
      <c r="IHG4" s="80"/>
      <c r="IHH4" s="80"/>
      <c r="IHI4" s="79"/>
      <c r="IHJ4" s="80"/>
      <c r="IHK4" s="80"/>
      <c r="IHL4" s="80"/>
      <c r="IHM4" s="79"/>
      <c r="IHN4" s="80"/>
      <c r="IHO4" s="80"/>
      <c r="IHP4" s="80"/>
      <c r="IHQ4" s="79"/>
      <c r="IHR4" s="80"/>
      <c r="IHS4" s="80"/>
      <c r="IHT4" s="80"/>
      <c r="IHU4" s="79"/>
      <c r="IHV4" s="80"/>
      <c r="IHW4" s="80"/>
      <c r="IHX4" s="80"/>
      <c r="IHY4" s="79"/>
      <c r="IHZ4" s="80"/>
      <c r="IIA4" s="80"/>
      <c r="IIB4" s="80"/>
      <c r="IIC4" s="79"/>
      <c r="IID4" s="80"/>
      <c r="IIE4" s="80"/>
      <c r="IIF4" s="80"/>
      <c r="IIG4" s="79"/>
      <c r="IIH4" s="80"/>
      <c r="III4" s="80"/>
      <c r="IIJ4" s="80"/>
      <c r="IIK4" s="79"/>
      <c r="IIL4" s="80"/>
      <c r="IIM4" s="80"/>
      <c r="IIN4" s="80"/>
      <c r="IIO4" s="79"/>
      <c r="IIP4" s="80"/>
      <c r="IIQ4" s="80"/>
      <c r="IIR4" s="80"/>
      <c r="IIS4" s="79"/>
      <c r="IIT4" s="80"/>
      <c r="IIU4" s="80"/>
      <c r="IIV4" s="80"/>
      <c r="IIW4" s="79"/>
      <c r="IIX4" s="80"/>
      <c r="IIY4" s="80"/>
      <c r="IIZ4" s="80"/>
      <c r="IJA4" s="79"/>
      <c r="IJB4" s="80"/>
      <c r="IJC4" s="80"/>
      <c r="IJD4" s="80"/>
      <c r="IJE4" s="79"/>
      <c r="IJF4" s="80"/>
      <c r="IJG4" s="80"/>
      <c r="IJH4" s="80"/>
      <c r="IJI4" s="79"/>
      <c r="IJJ4" s="80"/>
      <c r="IJK4" s="80"/>
      <c r="IJL4" s="80"/>
      <c r="IJM4" s="79"/>
      <c r="IJN4" s="80"/>
      <c r="IJO4" s="80"/>
      <c r="IJP4" s="80"/>
      <c r="IJQ4" s="79"/>
      <c r="IJR4" s="80"/>
      <c r="IJS4" s="80"/>
      <c r="IJT4" s="80"/>
      <c r="IJU4" s="79"/>
      <c r="IJV4" s="80"/>
      <c r="IJW4" s="80"/>
      <c r="IJX4" s="80"/>
      <c r="IJY4" s="79"/>
      <c r="IJZ4" s="80"/>
      <c r="IKA4" s="80"/>
      <c r="IKB4" s="80"/>
      <c r="IKC4" s="79"/>
      <c r="IKD4" s="80"/>
      <c r="IKE4" s="80"/>
      <c r="IKF4" s="80"/>
      <c r="IKG4" s="79"/>
      <c r="IKH4" s="80"/>
      <c r="IKI4" s="80"/>
      <c r="IKJ4" s="80"/>
      <c r="IKK4" s="79"/>
      <c r="IKL4" s="80"/>
      <c r="IKM4" s="80"/>
      <c r="IKN4" s="80"/>
      <c r="IKO4" s="79"/>
      <c r="IKP4" s="80"/>
      <c r="IKQ4" s="80"/>
      <c r="IKR4" s="80"/>
      <c r="IKS4" s="79"/>
      <c r="IKT4" s="80"/>
      <c r="IKU4" s="80"/>
      <c r="IKV4" s="80"/>
      <c r="IKW4" s="79"/>
      <c r="IKX4" s="80"/>
      <c r="IKY4" s="80"/>
      <c r="IKZ4" s="80"/>
      <c r="ILA4" s="79"/>
      <c r="ILB4" s="80"/>
      <c r="ILC4" s="80"/>
      <c r="ILD4" s="80"/>
      <c r="ILE4" s="79"/>
      <c r="ILF4" s="80"/>
      <c r="ILG4" s="80"/>
      <c r="ILH4" s="80"/>
      <c r="ILI4" s="79"/>
      <c r="ILJ4" s="80"/>
      <c r="ILK4" s="80"/>
      <c r="ILL4" s="80"/>
      <c r="ILM4" s="79"/>
      <c r="ILN4" s="80"/>
      <c r="ILO4" s="80"/>
      <c r="ILP4" s="80"/>
      <c r="ILQ4" s="79"/>
      <c r="ILR4" s="80"/>
      <c r="ILS4" s="80"/>
      <c r="ILT4" s="80"/>
      <c r="ILU4" s="79"/>
      <c r="ILV4" s="80"/>
      <c r="ILW4" s="80"/>
      <c r="ILX4" s="80"/>
      <c r="ILY4" s="79"/>
      <c r="ILZ4" s="80"/>
      <c r="IMA4" s="80"/>
      <c r="IMB4" s="80"/>
      <c r="IMC4" s="79"/>
      <c r="IMD4" s="80"/>
      <c r="IME4" s="80"/>
      <c r="IMF4" s="80"/>
      <c r="IMG4" s="79"/>
      <c r="IMH4" s="80"/>
      <c r="IMI4" s="80"/>
      <c r="IMJ4" s="80"/>
      <c r="IMK4" s="79"/>
      <c r="IML4" s="80"/>
      <c r="IMM4" s="80"/>
      <c r="IMN4" s="80"/>
      <c r="IMO4" s="79"/>
      <c r="IMP4" s="80"/>
      <c r="IMQ4" s="80"/>
      <c r="IMR4" s="80"/>
      <c r="IMS4" s="79"/>
      <c r="IMT4" s="80"/>
      <c r="IMU4" s="80"/>
      <c r="IMV4" s="80"/>
      <c r="IMW4" s="79"/>
      <c r="IMX4" s="80"/>
      <c r="IMY4" s="80"/>
      <c r="IMZ4" s="80"/>
      <c r="INA4" s="79"/>
      <c r="INB4" s="80"/>
      <c r="INC4" s="80"/>
      <c r="IND4" s="80"/>
      <c r="INE4" s="79"/>
      <c r="INF4" s="80"/>
      <c r="ING4" s="80"/>
      <c r="INH4" s="80"/>
      <c r="INI4" s="79"/>
      <c r="INJ4" s="80"/>
      <c r="INK4" s="80"/>
      <c r="INL4" s="80"/>
      <c r="INM4" s="79"/>
      <c r="INN4" s="80"/>
      <c r="INO4" s="80"/>
      <c r="INP4" s="80"/>
      <c r="INQ4" s="79"/>
      <c r="INR4" s="80"/>
      <c r="INS4" s="80"/>
      <c r="INT4" s="80"/>
      <c r="INU4" s="79"/>
      <c r="INV4" s="80"/>
      <c r="INW4" s="80"/>
      <c r="INX4" s="80"/>
      <c r="INY4" s="79"/>
      <c r="INZ4" s="80"/>
      <c r="IOA4" s="80"/>
      <c r="IOB4" s="80"/>
      <c r="IOC4" s="79"/>
      <c r="IOD4" s="80"/>
      <c r="IOE4" s="80"/>
      <c r="IOF4" s="80"/>
      <c r="IOG4" s="79"/>
      <c r="IOH4" s="80"/>
      <c r="IOI4" s="80"/>
      <c r="IOJ4" s="80"/>
      <c r="IOK4" s="79"/>
      <c r="IOL4" s="80"/>
      <c r="IOM4" s="80"/>
      <c r="ION4" s="80"/>
      <c r="IOO4" s="79"/>
      <c r="IOP4" s="80"/>
      <c r="IOQ4" s="80"/>
      <c r="IOR4" s="80"/>
      <c r="IOS4" s="79"/>
      <c r="IOT4" s="80"/>
      <c r="IOU4" s="80"/>
      <c r="IOV4" s="80"/>
      <c r="IOW4" s="79"/>
      <c r="IOX4" s="80"/>
      <c r="IOY4" s="80"/>
      <c r="IOZ4" s="80"/>
      <c r="IPA4" s="79"/>
      <c r="IPB4" s="80"/>
      <c r="IPC4" s="80"/>
      <c r="IPD4" s="80"/>
      <c r="IPE4" s="79"/>
      <c r="IPF4" s="80"/>
      <c r="IPG4" s="80"/>
      <c r="IPH4" s="80"/>
      <c r="IPI4" s="79"/>
      <c r="IPJ4" s="80"/>
      <c r="IPK4" s="80"/>
      <c r="IPL4" s="80"/>
      <c r="IPM4" s="79"/>
      <c r="IPN4" s="80"/>
      <c r="IPO4" s="80"/>
      <c r="IPP4" s="80"/>
      <c r="IPQ4" s="79"/>
      <c r="IPR4" s="80"/>
      <c r="IPS4" s="80"/>
      <c r="IPT4" s="80"/>
      <c r="IPU4" s="79"/>
      <c r="IPV4" s="80"/>
      <c r="IPW4" s="80"/>
      <c r="IPX4" s="80"/>
      <c r="IPY4" s="79"/>
      <c r="IPZ4" s="80"/>
      <c r="IQA4" s="80"/>
      <c r="IQB4" s="80"/>
      <c r="IQC4" s="79"/>
      <c r="IQD4" s="80"/>
      <c r="IQE4" s="80"/>
      <c r="IQF4" s="80"/>
      <c r="IQG4" s="79"/>
      <c r="IQH4" s="80"/>
      <c r="IQI4" s="80"/>
      <c r="IQJ4" s="80"/>
      <c r="IQK4" s="79"/>
      <c r="IQL4" s="80"/>
      <c r="IQM4" s="80"/>
      <c r="IQN4" s="80"/>
      <c r="IQO4" s="79"/>
      <c r="IQP4" s="80"/>
      <c r="IQQ4" s="80"/>
      <c r="IQR4" s="80"/>
      <c r="IQS4" s="79"/>
      <c r="IQT4" s="80"/>
      <c r="IQU4" s="80"/>
      <c r="IQV4" s="80"/>
      <c r="IQW4" s="79"/>
      <c r="IQX4" s="80"/>
      <c r="IQY4" s="80"/>
      <c r="IQZ4" s="80"/>
      <c r="IRA4" s="79"/>
      <c r="IRB4" s="80"/>
      <c r="IRC4" s="80"/>
      <c r="IRD4" s="80"/>
      <c r="IRE4" s="79"/>
      <c r="IRF4" s="80"/>
      <c r="IRG4" s="80"/>
      <c r="IRH4" s="80"/>
      <c r="IRI4" s="79"/>
      <c r="IRJ4" s="80"/>
      <c r="IRK4" s="80"/>
      <c r="IRL4" s="80"/>
      <c r="IRM4" s="79"/>
      <c r="IRN4" s="80"/>
      <c r="IRO4" s="80"/>
      <c r="IRP4" s="80"/>
      <c r="IRQ4" s="79"/>
      <c r="IRR4" s="80"/>
      <c r="IRS4" s="80"/>
      <c r="IRT4" s="80"/>
      <c r="IRU4" s="79"/>
      <c r="IRV4" s="80"/>
      <c r="IRW4" s="80"/>
      <c r="IRX4" s="80"/>
      <c r="IRY4" s="79"/>
      <c r="IRZ4" s="80"/>
      <c r="ISA4" s="80"/>
      <c r="ISB4" s="80"/>
      <c r="ISC4" s="79"/>
      <c r="ISD4" s="80"/>
      <c r="ISE4" s="80"/>
      <c r="ISF4" s="80"/>
      <c r="ISG4" s="79"/>
      <c r="ISH4" s="80"/>
      <c r="ISI4" s="80"/>
      <c r="ISJ4" s="80"/>
      <c r="ISK4" s="79"/>
      <c r="ISL4" s="80"/>
      <c r="ISM4" s="80"/>
      <c r="ISN4" s="80"/>
      <c r="ISO4" s="79"/>
      <c r="ISP4" s="80"/>
      <c r="ISQ4" s="80"/>
      <c r="ISR4" s="80"/>
      <c r="ISS4" s="79"/>
      <c r="IST4" s="80"/>
      <c r="ISU4" s="80"/>
      <c r="ISV4" s="80"/>
      <c r="ISW4" s="79"/>
      <c r="ISX4" s="80"/>
      <c r="ISY4" s="80"/>
      <c r="ISZ4" s="80"/>
      <c r="ITA4" s="79"/>
      <c r="ITB4" s="80"/>
      <c r="ITC4" s="80"/>
      <c r="ITD4" s="80"/>
      <c r="ITE4" s="79"/>
      <c r="ITF4" s="80"/>
      <c r="ITG4" s="80"/>
      <c r="ITH4" s="80"/>
      <c r="ITI4" s="79"/>
      <c r="ITJ4" s="80"/>
      <c r="ITK4" s="80"/>
      <c r="ITL4" s="80"/>
      <c r="ITM4" s="79"/>
      <c r="ITN4" s="80"/>
      <c r="ITO4" s="80"/>
      <c r="ITP4" s="80"/>
      <c r="ITQ4" s="79"/>
      <c r="ITR4" s="80"/>
      <c r="ITS4" s="80"/>
      <c r="ITT4" s="80"/>
      <c r="ITU4" s="79"/>
      <c r="ITV4" s="80"/>
      <c r="ITW4" s="80"/>
      <c r="ITX4" s="80"/>
      <c r="ITY4" s="79"/>
      <c r="ITZ4" s="80"/>
      <c r="IUA4" s="80"/>
      <c r="IUB4" s="80"/>
      <c r="IUC4" s="79"/>
      <c r="IUD4" s="80"/>
      <c r="IUE4" s="80"/>
      <c r="IUF4" s="80"/>
      <c r="IUG4" s="79"/>
      <c r="IUH4" s="80"/>
      <c r="IUI4" s="80"/>
      <c r="IUJ4" s="80"/>
      <c r="IUK4" s="79"/>
      <c r="IUL4" s="80"/>
      <c r="IUM4" s="80"/>
      <c r="IUN4" s="80"/>
      <c r="IUO4" s="79"/>
      <c r="IUP4" s="80"/>
      <c r="IUQ4" s="80"/>
      <c r="IUR4" s="80"/>
      <c r="IUS4" s="79"/>
      <c r="IUT4" s="80"/>
      <c r="IUU4" s="80"/>
      <c r="IUV4" s="80"/>
      <c r="IUW4" s="79"/>
      <c r="IUX4" s="80"/>
      <c r="IUY4" s="80"/>
      <c r="IUZ4" s="80"/>
      <c r="IVA4" s="79"/>
      <c r="IVB4" s="80"/>
      <c r="IVC4" s="80"/>
      <c r="IVD4" s="80"/>
      <c r="IVE4" s="79"/>
      <c r="IVF4" s="80"/>
      <c r="IVG4" s="80"/>
      <c r="IVH4" s="80"/>
      <c r="IVI4" s="79"/>
      <c r="IVJ4" s="80"/>
      <c r="IVK4" s="80"/>
      <c r="IVL4" s="80"/>
      <c r="IVM4" s="79"/>
      <c r="IVN4" s="80"/>
      <c r="IVO4" s="80"/>
      <c r="IVP4" s="80"/>
      <c r="IVQ4" s="79"/>
      <c r="IVR4" s="80"/>
      <c r="IVS4" s="80"/>
      <c r="IVT4" s="80"/>
      <c r="IVU4" s="79"/>
      <c r="IVV4" s="80"/>
      <c r="IVW4" s="80"/>
      <c r="IVX4" s="80"/>
      <c r="IVY4" s="79"/>
      <c r="IVZ4" s="80"/>
      <c r="IWA4" s="80"/>
      <c r="IWB4" s="80"/>
      <c r="IWC4" s="79"/>
      <c r="IWD4" s="80"/>
      <c r="IWE4" s="80"/>
      <c r="IWF4" s="80"/>
      <c r="IWG4" s="79"/>
      <c r="IWH4" s="80"/>
      <c r="IWI4" s="80"/>
      <c r="IWJ4" s="80"/>
      <c r="IWK4" s="79"/>
      <c r="IWL4" s="80"/>
      <c r="IWM4" s="80"/>
      <c r="IWN4" s="80"/>
      <c r="IWO4" s="79"/>
      <c r="IWP4" s="80"/>
      <c r="IWQ4" s="80"/>
      <c r="IWR4" s="80"/>
      <c r="IWS4" s="79"/>
      <c r="IWT4" s="80"/>
      <c r="IWU4" s="80"/>
      <c r="IWV4" s="80"/>
      <c r="IWW4" s="79"/>
      <c r="IWX4" s="80"/>
      <c r="IWY4" s="80"/>
      <c r="IWZ4" s="80"/>
      <c r="IXA4" s="79"/>
      <c r="IXB4" s="80"/>
      <c r="IXC4" s="80"/>
      <c r="IXD4" s="80"/>
      <c r="IXE4" s="79"/>
      <c r="IXF4" s="80"/>
      <c r="IXG4" s="80"/>
      <c r="IXH4" s="80"/>
      <c r="IXI4" s="79"/>
      <c r="IXJ4" s="80"/>
      <c r="IXK4" s="80"/>
      <c r="IXL4" s="80"/>
      <c r="IXM4" s="79"/>
      <c r="IXN4" s="80"/>
      <c r="IXO4" s="80"/>
      <c r="IXP4" s="80"/>
      <c r="IXQ4" s="79"/>
      <c r="IXR4" s="80"/>
      <c r="IXS4" s="80"/>
      <c r="IXT4" s="80"/>
      <c r="IXU4" s="79"/>
      <c r="IXV4" s="80"/>
      <c r="IXW4" s="80"/>
      <c r="IXX4" s="80"/>
      <c r="IXY4" s="79"/>
      <c r="IXZ4" s="80"/>
      <c r="IYA4" s="80"/>
      <c r="IYB4" s="80"/>
      <c r="IYC4" s="79"/>
      <c r="IYD4" s="80"/>
      <c r="IYE4" s="80"/>
      <c r="IYF4" s="80"/>
      <c r="IYG4" s="79"/>
      <c r="IYH4" s="80"/>
      <c r="IYI4" s="80"/>
      <c r="IYJ4" s="80"/>
      <c r="IYK4" s="79"/>
      <c r="IYL4" s="80"/>
      <c r="IYM4" s="80"/>
      <c r="IYN4" s="80"/>
      <c r="IYO4" s="79"/>
      <c r="IYP4" s="80"/>
      <c r="IYQ4" s="80"/>
      <c r="IYR4" s="80"/>
      <c r="IYS4" s="79"/>
      <c r="IYT4" s="80"/>
      <c r="IYU4" s="80"/>
      <c r="IYV4" s="80"/>
      <c r="IYW4" s="79"/>
      <c r="IYX4" s="80"/>
      <c r="IYY4" s="80"/>
      <c r="IYZ4" s="80"/>
      <c r="IZA4" s="79"/>
      <c r="IZB4" s="80"/>
      <c r="IZC4" s="80"/>
      <c r="IZD4" s="80"/>
      <c r="IZE4" s="79"/>
      <c r="IZF4" s="80"/>
      <c r="IZG4" s="80"/>
      <c r="IZH4" s="80"/>
      <c r="IZI4" s="79"/>
      <c r="IZJ4" s="80"/>
      <c r="IZK4" s="80"/>
      <c r="IZL4" s="80"/>
      <c r="IZM4" s="79"/>
      <c r="IZN4" s="80"/>
      <c r="IZO4" s="80"/>
      <c r="IZP4" s="80"/>
      <c r="IZQ4" s="79"/>
      <c r="IZR4" s="80"/>
      <c r="IZS4" s="80"/>
      <c r="IZT4" s="80"/>
      <c r="IZU4" s="79"/>
      <c r="IZV4" s="80"/>
      <c r="IZW4" s="80"/>
      <c r="IZX4" s="80"/>
      <c r="IZY4" s="79"/>
      <c r="IZZ4" s="80"/>
      <c r="JAA4" s="80"/>
      <c r="JAB4" s="80"/>
      <c r="JAC4" s="79"/>
      <c r="JAD4" s="80"/>
      <c r="JAE4" s="80"/>
      <c r="JAF4" s="80"/>
      <c r="JAG4" s="79"/>
      <c r="JAH4" s="80"/>
      <c r="JAI4" s="80"/>
      <c r="JAJ4" s="80"/>
      <c r="JAK4" s="79"/>
      <c r="JAL4" s="80"/>
      <c r="JAM4" s="80"/>
      <c r="JAN4" s="80"/>
      <c r="JAO4" s="79"/>
      <c r="JAP4" s="80"/>
      <c r="JAQ4" s="80"/>
      <c r="JAR4" s="80"/>
      <c r="JAS4" s="79"/>
      <c r="JAT4" s="80"/>
      <c r="JAU4" s="80"/>
      <c r="JAV4" s="80"/>
      <c r="JAW4" s="79"/>
      <c r="JAX4" s="80"/>
      <c r="JAY4" s="80"/>
      <c r="JAZ4" s="80"/>
      <c r="JBA4" s="79"/>
      <c r="JBB4" s="80"/>
      <c r="JBC4" s="80"/>
      <c r="JBD4" s="80"/>
      <c r="JBE4" s="79"/>
      <c r="JBF4" s="80"/>
      <c r="JBG4" s="80"/>
      <c r="JBH4" s="80"/>
      <c r="JBI4" s="79"/>
      <c r="JBJ4" s="80"/>
      <c r="JBK4" s="80"/>
      <c r="JBL4" s="80"/>
      <c r="JBM4" s="79"/>
      <c r="JBN4" s="80"/>
      <c r="JBO4" s="80"/>
      <c r="JBP4" s="80"/>
      <c r="JBQ4" s="79"/>
      <c r="JBR4" s="80"/>
      <c r="JBS4" s="80"/>
      <c r="JBT4" s="80"/>
      <c r="JBU4" s="79"/>
      <c r="JBV4" s="80"/>
      <c r="JBW4" s="80"/>
      <c r="JBX4" s="80"/>
      <c r="JBY4" s="79"/>
      <c r="JBZ4" s="80"/>
      <c r="JCA4" s="80"/>
      <c r="JCB4" s="80"/>
      <c r="JCC4" s="79"/>
      <c r="JCD4" s="80"/>
      <c r="JCE4" s="80"/>
      <c r="JCF4" s="80"/>
      <c r="JCG4" s="79"/>
      <c r="JCH4" s="80"/>
      <c r="JCI4" s="80"/>
      <c r="JCJ4" s="80"/>
      <c r="JCK4" s="79"/>
      <c r="JCL4" s="80"/>
      <c r="JCM4" s="80"/>
      <c r="JCN4" s="80"/>
      <c r="JCO4" s="79"/>
      <c r="JCP4" s="80"/>
      <c r="JCQ4" s="80"/>
      <c r="JCR4" s="80"/>
      <c r="JCS4" s="79"/>
      <c r="JCT4" s="80"/>
      <c r="JCU4" s="80"/>
      <c r="JCV4" s="80"/>
      <c r="JCW4" s="79"/>
      <c r="JCX4" s="80"/>
      <c r="JCY4" s="80"/>
      <c r="JCZ4" s="80"/>
      <c r="JDA4" s="79"/>
      <c r="JDB4" s="80"/>
      <c r="JDC4" s="80"/>
      <c r="JDD4" s="80"/>
      <c r="JDE4" s="79"/>
      <c r="JDF4" s="80"/>
      <c r="JDG4" s="80"/>
      <c r="JDH4" s="80"/>
      <c r="JDI4" s="79"/>
      <c r="JDJ4" s="80"/>
      <c r="JDK4" s="80"/>
      <c r="JDL4" s="80"/>
      <c r="JDM4" s="79"/>
      <c r="JDN4" s="80"/>
      <c r="JDO4" s="80"/>
      <c r="JDP4" s="80"/>
      <c r="JDQ4" s="79"/>
      <c r="JDR4" s="80"/>
      <c r="JDS4" s="80"/>
      <c r="JDT4" s="80"/>
      <c r="JDU4" s="79"/>
      <c r="JDV4" s="80"/>
      <c r="JDW4" s="80"/>
      <c r="JDX4" s="80"/>
      <c r="JDY4" s="79"/>
      <c r="JDZ4" s="80"/>
      <c r="JEA4" s="80"/>
      <c r="JEB4" s="80"/>
      <c r="JEC4" s="79"/>
      <c r="JED4" s="80"/>
      <c r="JEE4" s="80"/>
      <c r="JEF4" s="80"/>
      <c r="JEG4" s="79"/>
      <c r="JEH4" s="80"/>
      <c r="JEI4" s="80"/>
      <c r="JEJ4" s="80"/>
      <c r="JEK4" s="79"/>
      <c r="JEL4" s="80"/>
      <c r="JEM4" s="80"/>
      <c r="JEN4" s="80"/>
      <c r="JEO4" s="79"/>
      <c r="JEP4" s="80"/>
      <c r="JEQ4" s="80"/>
      <c r="JER4" s="80"/>
      <c r="JES4" s="79"/>
      <c r="JET4" s="80"/>
      <c r="JEU4" s="80"/>
      <c r="JEV4" s="80"/>
      <c r="JEW4" s="79"/>
      <c r="JEX4" s="80"/>
      <c r="JEY4" s="80"/>
      <c r="JEZ4" s="80"/>
      <c r="JFA4" s="79"/>
      <c r="JFB4" s="80"/>
      <c r="JFC4" s="80"/>
      <c r="JFD4" s="80"/>
      <c r="JFE4" s="79"/>
      <c r="JFF4" s="80"/>
      <c r="JFG4" s="80"/>
      <c r="JFH4" s="80"/>
      <c r="JFI4" s="79"/>
      <c r="JFJ4" s="80"/>
      <c r="JFK4" s="80"/>
      <c r="JFL4" s="80"/>
      <c r="JFM4" s="79"/>
      <c r="JFN4" s="80"/>
      <c r="JFO4" s="80"/>
      <c r="JFP4" s="80"/>
      <c r="JFQ4" s="79"/>
      <c r="JFR4" s="80"/>
      <c r="JFS4" s="80"/>
      <c r="JFT4" s="80"/>
      <c r="JFU4" s="79"/>
      <c r="JFV4" s="80"/>
      <c r="JFW4" s="80"/>
      <c r="JFX4" s="80"/>
      <c r="JFY4" s="79"/>
      <c r="JFZ4" s="80"/>
      <c r="JGA4" s="80"/>
      <c r="JGB4" s="80"/>
      <c r="JGC4" s="79"/>
      <c r="JGD4" s="80"/>
      <c r="JGE4" s="80"/>
      <c r="JGF4" s="80"/>
      <c r="JGG4" s="79"/>
      <c r="JGH4" s="80"/>
      <c r="JGI4" s="80"/>
      <c r="JGJ4" s="80"/>
      <c r="JGK4" s="79"/>
      <c r="JGL4" s="80"/>
      <c r="JGM4" s="80"/>
      <c r="JGN4" s="80"/>
      <c r="JGO4" s="79"/>
      <c r="JGP4" s="80"/>
      <c r="JGQ4" s="80"/>
      <c r="JGR4" s="80"/>
      <c r="JGS4" s="79"/>
      <c r="JGT4" s="80"/>
      <c r="JGU4" s="80"/>
      <c r="JGV4" s="80"/>
      <c r="JGW4" s="79"/>
      <c r="JGX4" s="80"/>
      <c r="JGY4" s="80"/>
      <c r="JGZ4" s="80"/>
      <c r="JHA4" s="79"/>
      <c r="JHB4" s="80"/>
      <c r="JHC4" s="80"/>
      <c r="JHD4" s="80"/>
      <c r="JHE4" s="79"/>
      <c r="JHF4" s="80"/>
      <c r="JHG4" s="80"/>
      <c r="JHH4" s="80"/>
      <c r="JHI4" s="79"/>
      <c r="JHJ4" s="80"/>
      <c r="JHK4" s="80"/>
      <c r="JHL4" s="80"/>
      <c r="JHM4" s="79"/>
      <c r="JHN4" s="80"/>
      <c r="JHO4" s="80"/>
      <c r="JHP4" s="80"/>
      <c r="JHQ4" s="79"/>
      <c r="JHR4" s="80"/>
      <c r="JHS4" s="80"/>
      <c r="JHT4" s="80"/>
      <c r="JHU4" s="79"/>
      <c r="JHV4" s="80"/>
      <c r="JHW4" s="80"/>
      <c r="JHX4" s="80"/>
      <c r="JHY4" s="79"/>
      <c r="JHZ4" s="80"/>
      <c r="JIA4" s="80"/>
      <c r="JIB4" s="80"/>
      <c r="JIC4" s="79"/>
      <c r="JID4" s="80"/>
      <c r="JIE4" s="80"/>
      <c r="JIF4" s="80"/>
      <c r="JIG4" s="79"/>
      <c r="JIH4" s="80"/>
      <c r="JII4" s="80"/>
      <c r="JIJ4" s="80"/>
      <c r="JIK4" s="79"/>
      <c r="JIL4" s="80"/>
      <c r="JIM4" s="80"/>
      <c r="JIN4" s="80"/>
      <c r="JIO4" s="79"/>
      <c r="JIP4" s="80"/>
      <c r="JIQ4" s="80"/>
      <c r="JIR4" s="80"/>
      <c r="JIS4" s="79"/>
      <c r="JIT4" s="80"/>
      <c r="JIU4" s="80"/>
      <c r="JIV4" s="80"/>
      <c r="JIW4" s="79"/>
      <c r="JIX4" s="80"/>
      <c r="JIY4" s="80"/>
      <c r="JIZ4" s="80"/>
      <c r="JJA4" s="79"/>
      <c r="JJB4" s="80"/>
      <c r="JJC4" s="80"/>
      <c r="JJD4" s="80"/>
      <c r="JJE4" s="79"/>
      <c r="JJF4" s="80"/>
      <c r="JJG4" s="80"/>
      <c r="JJH4" s="80"/>
      <c r="JJI4" s="79"/>
      <c r="JJJ4" s="80"/>
      <c r="JJK4" s="80"/>
      <c r="JJL4" s="80"/>
      <c r="JJM4" s="79"/>
      <c r="JJN4" s="80"/>
      <c r="JJO4" s="80"/>
      <c r="JJP4" s="80"/>
      <c r="JJQ4" s="79"/>
      <c r="JJR4" s="80"/>
      <c r="JJS4" s="80"/>
      <c r="JJT4" s="80"/>
      <c r="JJU4" s="79"/>
      <c r="JJV4" s="80"/>
      <c r="JJW4" s="80"/>
      <c r="JJX4" s="80"/>
      <c r="JJY4" s="79"/>
      <c r="JJZ4" s="80"/>
      <c r="JKA4" s="80"/>
      <c r="JKB4" s="80"/>
      <c r="JKC4" s="79"/>
      <c r="JKD4" s="80"/>
      <c r="JKE4" s="80"/>
      <c r="JKF4" s="80"/>
      <c r="JKG4" s="79"/>
      <c r="JKH4" s="80"/>
      <c r="JKI4" s="80"/>
      <c r="JKJ4" s="80"/>
      <c r="JKK4" s="79"/>
      <c r="JKL4" s="80"/>
      <c r="JKM4" s="80"/>
      <c r="JKN4" s="80"/>
      <c r="JKO4" s="79"/>
      <c r="JKP4" s="80"/>
      <c r="JKQ4" s="80"/>
      <c r="JKR4" s="80"/>
      <c r="JKS4" s="79"/>
      <c r="JKT4" s="80"/>
      <c r="JKU4" s="80"/>
      <c r="JKV4" s="80"/>
      <c r="JKW4" s="79"/>
      <c r="JKX4" s="80"/>
      <c r="JKY4" s="80"/>
      <c r="JKZ4" s="80"/>
      <c r="JLA4" s="79"/>
      <c r="JLB4" s="80"/>
      <c r="JLC4" s="80"/>
      <c r="JLD4" s="80"/>
      <c r="JLE4" s="79"/>
      <c r="JLF4" s="80"/>
      <c r="JLG4" s="80"/>
      <c r="JLH4" s="80"/>
      <c r="JLI4" s="79"/>
      <c r="JLJ4" s="80"/>
      <c r="JLK4" s="80"/>
      <c r="JLL4" s="80"/>
      <c r="JLM4" s="79"/>
      <c r="JLN4" s="80"/>
      <c r="JLO4" s="80"/>
      <c r="JLP4" s="80"/>
      <c r="JLQ4" s="79"/>
      <c r="JLR4" s="80"/>
      <c r="JLS4" s="80"/>
      <c r="JLT4" s="80"/>
      <c r="JLU4" s="79"/>
      <c r="JLV4" s="80"/>
      <c r="JLW4" s="80"/>
      <c r="JLX4" s="80"/>
      <c r="JLY4" s="79"/>
      <c r="JLZ4" s="80"/>
      <c r="JMA4" s="80"/>
      <c r="JMB4" s="80"/>
      <c r="JMC4" s="79"/>
      <c r="JMD4" s="80"/>
      <c r="JME4" s="80"/>
      <c r="JMF4" s="80"/>
      <c r="JMG4" s="79"/>
      <c r="JMH4" s="80"/>
      <c r="JMI4" s="80"/>
      <c r="JMJ4" s="80"/>
      <c r="JMK4" s="79"/>
      <c r="JML4" s="80"/>
      <c r="JMM4" s="80"/>
      <c r="JMN4" s="80"/>
      <c r="JMO4" s="79"/>
      <c r="JMP4" s="80"/>
      <c r="JMQ4" s="80"/>
      <c r="JMR4" s="80"/>
      <c r="JMS4" s="79"/>
      <c r="JMT4" s="80"/>
      <c r="JMU4" s="80"/>
      <c r="JMV4" s="80"/>
      <c r="JMW4" s="79"/>
      <c r="JMX4" s="80"/>
      <c r="JMY4" s="80"/>
      <c r="JMZ4" s="80"/>
      <c r="JNA4" s="79"/>
      <c r="JNB4" s="80"/>
      <c r="JNC4" s="80"/>
      <c r="JND4" s="80"/>
      <c r="JNE4" s="79"/>
      <c r="JNF4" s="80"/>
      <c r="JNG4" s="80"/>
      <c r="JNH4" s="80"/>
      <c r="JNI4" s="79"/>
      <c r="JNJ4" s="80"/>
      <c r="JNK4" s="80"/>
      <c r="JNL4" s="80"/>
      <c r="JNM4" s="79"/>
      <c r="JNN4" s="80"/>
      <c r="JNO4" s="80"/>
      <c r="JNP4" s="80"/>
      <c r="JNQ4" s="79"/>
      <c r="JNR4" s="80"/>
      <c r="JNS4" s="80"/>
      <c r="JNT4" s="80"/>
      <c r="JNU4" s="79"/>
      <c r="JNV4" s="80"/>
      <c r="JNW4" s="80"/>
      <c r="JNX4" s="80"/>
      <c r="JNY4" s="79"/>
      <c r="JNZ4" s="80"/>
      <c r="JOA4" s="80"/>
      <c r="JOB4" s="80"/>
      <c r="JOC4" s="79"/>
      <c r="JOD4" s="80"/>
      <c r="JOE4" s="80"/>
      <c r="JOF4" s="80"/>
      <c r="JOG4" s="79"/>
      <c r="JOH4" s="80"/>
      <c r="JOI4" s="80"/>
      <c r="JOJ4" s="80"/>
      <c r="JOK4" s="79"/>
      <c r="JOL4" s="80"/>
      <c r="JOM4" s="80"/>
      <c r="JON4" s="80"/>
      <c r="JOO4" s="79"/>
      <c r="JOP4" s="80"/>
      <c r="JOQ4" s="80"/>
      <c r="JOR4" s="80"/>
      <c r="JOS4" s="79"/>
      <c r="JOT4" s="80"/>
      <c r="JOU4" s="80"/>
      <c r="JOV4" s="80"/>
      <c r="JOW4" s="79"/>
      <c r="JOX4" s="80"/>
      <c r="JOY4" s="80"/>
      <c r="JOZ4" s="80"/>
      <c r="JPA4" s="79"/>
      <c r="JPB4" s="80"/>
      <c r="JPC4" s="80"/>
      <c r="JPD4" s="80"/>
      <c r="JPE4" s="79"/>
      <c r="JPF4" s="80"/>
      <c r="JPG4" s="80"/>
      <c r="JPH4" s="80"/>
      <c r="JPI4" s="79"/>
      <c r="JPJ4" s="80"/>
      <c r="JPK4" s="80"/>
      <c r="JPL4" s="80"/>
      <c r="JPM4" s="79"/>
      <c r="JPN4" s="80"/>
      <c r="JPO4" s="80"/>
      <c r="JPP4" s="80"/>
      <c r="JPQ4" s="79"/>
      <c r="JPR4" s="80"/>
      <c r="JPS4" s="80"/>
      <c r="JPT4" s="80"/>
      <c r="JPU4" s="79"/>
      <c r="JPV4" s="80"/>
      <c r="JPW4" s="80"/>
      <c r="JPX4" s="80"/>
      <c r="JPY4" s="79"/>
      <c r="JPZ4" s="80"/>
      <c r="JQA4" s="80"/>
      <c r="JQB4" s="80"/>
      <c r="JQC4" s="79"/>
      <c r="JQD4" s="80"/>
      <c r="JQE4" s="80"/>
      <c r="JQF4" s="80"/>
      <c r="JQG4" s="79"/>
      <c r="JQH4" s="80"/>
      <c r="JQI4" s="80"/>
      <c r="JQJ4" s="80"/>
      <c r="JQK4" s="79"/>
      <c r="JQL4" s="80"/>
      <c r="JQM4" s="80"/>
      <c r="JQN4" s="80"/>
      <c r="JQO4" s="79"/>
      <c r="JQP4" s="80"/>
      <c r="JQQ4" s="80"/>
      <c r="JQR4" s="80"/>
      <c r="JQS4" s="79"/>
      <c r="JQT4" s="80"/>
      <c r="JQU4" s="80"/>
      <c r="JQV4" s="80"/>
      <c r="JQW4" s="79"/>
      <c r="JQX4" s="80"/>
      <c r="JQY4" s="80"/>
      <c r="JQZ4" s="80"/>
      <c r="JRA4" s="79"/>
      <c r="JRB4" s="80"/>
      <c r="JRC4" s="80"/>
      <c r="JRD4" s="80"/>
      <c r="JRE4" s="79"/>
      <c r="JRF4" s="80"/>
      <c r="JRG4" s="80"/>
      <c r="JRH4" s="80"/>
      <c r="JRI4" s="79"/>
      <c r="JRJ4" s="80"/>
      <c r="JRK4" s="80"/>
      <c r="JRL4" s="80"/>
      <c r="JRM4" s="79"/>
      <c r="JRN4" s="80"/>
      <c r="JRO4" s="80"/>
      <c r="JRP4" s="80"/>
      <c r="JRQ4" s="79"/>
      <c r="JRR4" s="80"/>
      <c r="JRS4" s="80"/>
      <c r="JRT4" s="80"/>
      <c r="JRU4" s="79"/>
      <c r="JRV4" s="80"/>
      <c r="JRW4" s="80"/>
      <c r="JRX4" s="80"/>
      <c r="JRY4" s="79"/>
      <c r="JRZ4" s="80"/>
      <c r="JSA4" s="80"/>
      <c r="JSB4" s="80"/>
      <c r="JSC4" s="79"/>
      <c r="JSD4" s="80"/>
      <c r="JSE4" s="80"/>
      <c r="JSF4" s="80"/>
      <c r="JSG4" s="79"/>
      <c r="JSH4" s="80"/>
      <c r="JSI4" s="80"/>
      <c r="JSJ4" s="80"/>
      <c r="JSK4" s="79"/>
      <c r="JSL4" s="80"/>
      <c r="JSM4" s="80"/>
      <c r="JSN4" s="80"/>
      <c r="JSO4" s="79"/>
      <c r="JSP4" s="80"/>
      <c r="JSQ4" s="80"/>
      <c r="JSR4" s="80"/>
      <c r="JSS4" s="79"/>
      <c r="JST4" s="80"/>
      <c r="JSU4" s="80"/>
      <c r="JSV4" s="80"/>
      <c r="JSW4" s="79"/>
      <c r="JSX4" s="80"/>
      <c r="JSY4" s="80"/>
      <c r="JSZ4" s="80"/>
      <c r="JTA4" s="79"/>
      <c r="JTB4" s="80"/>
      <c r="JTC4" s="80"/>
      <c r="JTD4" s="80"/>
      <c r="JTE4" s="79"/>
      <c r="JTF4" s="80"/>
      <c r="JTG4" s="80"/>
      <c r="JTH4" s="80"/>
      <c r="JTI4" s="79"/>
      <c r="JTJ4" s="80"/>
      <c r="JTK4" s="80"/>
      <c r="JTL4" s="80"/>
      <c r="JTM4" s="79"/>
      <c r="JTN4" s="80"/>
      <c r="JTO4" s="80"/>
      <c r="JTP4" s="80"/>
      <c r="JTQ4" s="79"/>
      <c r="JTR4" s="80"/>
      <c r="JTS4" s="80"/>
      <c r="JTT4" s="80"/>
      <c r="JTU4" s="79"/>
      <c r="JTV4" s="80"/>
      <c r="JTW4" s="80"/>
      <c r="JTX4" s="80"/>
      <c r="JTY4" s="79"/>
      <c r="JTZ4" s="80"/>
      <c r="JUA4" s="80"/>
      <c r="JUB4" s="80"/>
      <c r="JUC4" s="79"/>
      <c r="JUD4" s="80"/>
      <c r="JUE4" s="80"/>
      <c r="JUF4" s="80"/>
      <c r="JUG4" s="79"/>
      <c r="JUH4" s="80"/>
      <c r="JUI4" s="80"/>
      <c r="JUJ4" s="80"/>
      <c r="JUK4" s="79"/>
      <c r="JUL4" s="80"/>
      <c r="JUM4" s="80"/>
      <c r="JUN4" s="80"/>
      <c r="JUO4" s="79"/>
      <c r="JUP4" s="80"/>
      <c r="JUQ4" s="80"/>
      <c r="JUR4" s="80"/>
      <c r="JUS4" s="79"/>
      <c r="JUT4" s="80"/>
      <c r="JUU4" s="80"/>
      <c r="JUV4" s="80"/>
      <c r="JUW4" s="79"/>
      <c r="JUX4" s="80"/>
      <c r="JUY4" s="80"/>
      <c r="JUZ4" s="80"/>
      <c r="JVA4" s="79"/>
      <c r="JVB4" s="80"/>
      <c r="JVC4" s="80"/>
      <c r="JVD4" s="80"/>
      <c r="JVE4" s="79"/>
      <c r="JVF4" s="80"/>
      <c r="JVG4" s="80"/>
      <c r="JVH4" s="80"/>
      <c r="JVI4" s="79"/>
      <c r="JVJ4" s="80"/>
      <c r="JVK4" s="80"/>
      <c r="JVL4" s="80"/>
      <c r="JVM4" s="79"/>
      <c r="JVN4" s="80"/>
      <c r="JVO4" s="80"/>
      <c r="JVP4" s="80"/>
      <c r="JVQ4" s="79"/>
      <c r="JVR4" s="80"/>
      <c r="JVS4" s="80"/>
      <c r="JVT4" s="80"/>
      <c r="JVU4" s="79"/>
      <c r="JVV4" s="80"/>
      <c r="JVW4" s="80"/>
      <c r="JVX4" s="80"/>
      <c r="JVY4" s="79"/>
      <c r="JVZ4" s="80"/>
      <c r="JWA4" s="80"/>
      <c r="JWB4" s="80"/>
      <c r="JWC4" s="79"/>
      <c r="JWD4" s="80"/>
      <c r="JWE4" s="80"/>
      <c r="JWF4" s="80"/>
      <c r="JWG4" s="79"/>
      <c r="JWH4" s="80"/>
      <c r="JWI4" s="80"/>
      <c r="JWJ4" s="80"/>
      <c r="JWK4" s="79"/>
      <c r="JWL4" s="80"/>
      <c r="JWM4" s="80"/>
      <c r="JWN4" s="80"/>
      <c r="JWO4" s="79"/>
      <c r="JWP4" s="80"/>
      <c r="JWQ4" s="80"/>
      <c r="JWR4" s="80"/>
      <c r="JWS4" s="79"/>
      <c r="JWT4" s="80"/>
      <c r="JWU4" s="80"/>
      <c r="JWV4" s="80"/>
      <c r="JWW4" s="79"/>
      <c r="JWX4" s="80"/>
      <c r="JWY4" s="80"/>
      <c r="JWZ4" s="80"/>
      <c r="JXA4" s="79"/>
      <c r="JXB4" s="80"/>
      <c r="JXC4" s="80"/>
      <c r="JXD4" s="80"/>
      <c r="JXE4" s="79"/>
      <c r="JXF4" s="80"/>
      <c r="JXG4" s="80"/>
      <c r="JXH4" s="80"/>
      <c r="JXI4" s="79"/>
      <c r="JXJ4" s="80"/>
      <c r="JXK4" s="80"/>
      <c r="JXL4" s="80"/>
      <c r="JXM4" s="79"/>
      <c r="JXN4" s="80"/>
      <c r="JXO4" s="80"/>
      <c r="JXP4" s="80"/>
      <c r="JXQ4" s="79"/>
      <c r="JXR4" s="80"/>
      <c r="JXS4" s="80"/>
      <c r="JXT4" s="80"/>
      <c r="JXU4" s="79"/>
      <c r="JXV4" s="80"/>
      <c r="JXW4" s="80"/>
      <c r="JXX4" s="80"/>
      <c r="JXY4" s="79"/>
      <c r="JXZ4" s="80"/>
      <c r="JYA4" s="80"/>
      <c r="JYB4" s="80"/>
      <c r="JYC4" s="79"/>
      <c r="JYD4" s="80"/>
      <c r="JYE4" s="80"/>
      <c r="JYF4" s="80"/>
      <c r="JYG4" s="79"/>
      <c r="JYH4" s="80"/>
      <c r="JYI4" s="80"/>
      <c r="JYJ4" s="80"/>
      <c r="JYK4" s="79"/>
      <c r="JYL4" s="80"/>
      <c r="JYM4" s="80"/>
      <c r="JYN4" s="80"/>
      <c r="JYO4" s="79"/>
      <c r="JYP4" s="80"/>
      <c r="JYQ4" s="80"/>
      <c r="JYR4" s="80"/>
      <c r="JYS4" s="79"/>
      <c r="JYT4" s="80"/>
      <c r="JYU4" s="80"/>
      <c r="JYV4" s="80"/>
      <c r="JYW4" s="79"/>
      <c r="JYX4" s="80"/>
      <c r="JYY4" s="80"/>
      <c r="JYZ4" s="80"/>
      <c r="JZA4" s="79"/>
      <c r="JZB4" s="80"/>
      <c r="JZC4" s="80"/>
      <c r="JZD4" s="80"/>
      <c r="JZE4" s="79"/>
      <c r="JZF4" s="80"/>
      <c r="JZG4" s="80"/>
      <c r="JZH4" s="80"/>
      <c r="JZI4" s="79"/>
      <c r="JZJ4" s="80"/>
      <c r="JZK4" s="80"/>
      <c r="JZL4" s="80"/>
      <c r="JZM4" s="79"/>
      <c r="JZN4" s="80"/>
      <c r="JZO4" s="80"/>
      <c r="JZP4" s="80"/>
      <c r="JZQ4" s="79"/>
      <c r="JZR4" s="80"/>
      <c r="JZS4" s="80"/>
      <c r="JZT4" s="80"/>
      <c r="JZU4" s="79"/>
      <c r="JZV4" s="80"/>
      <c r="JZW4" s="80"/>
      <c r="JZX4" s="80"/>
      <c r="JZY4" s="79"/>
      <c r="JZZ4" s="80"/>
      <c r="KAA4" s="80"/>
      <c r="KAB4" s="80"/>
      <c r="KAC4" s="79"/>
      <c r="KAD4" s="80"/>
      <c r="KAE4" s="80"/>
      <c r="KAF4" s="80"/>
      <c r="KAG4" s="79"/>
      <c r="KAH4" s="80"/>
      <c r="KAI4" s="80"/>
      <c r="KAJ4" s="80"/>
      <c r="KAK4" s="79"/>
      <c r="KAL4" s="80"/>
      <c r="KAM4" s="80"/>
      <c r="KAN4" s="80"/>
      <c r="KAO4" s="79"/>
      <c r="KAP4" s="80"/>
      <c r="KAQ4" s="80"/>
      <c r="KAR4" s="80"/>
      <c r="KAS4" s="79"/>
      <c r="KAT4" s="80"/>
      <c r="KAU4" s="80"/>
      <c r="KAV4" s="80"/>
      <c r="KAW4" s="79"/>
      <c r="KAX4" s="80"/>
      <c r="KAY4" s="80"/>
      <c r="KAZ4" s="80"/>
      <c r="KBA4" s="79"/>
      <c r="KBB4" s="80"/>
      <c r="KBC4" s="80"/>
      <c r="KBD4" s="80"/>
      <c r="KBE4" s="79"/>
      <c r="KBF4" s="80"/>
      <c r="KBG4" s="80"/>
      <c r="KBH4" s="80"/>
      <c r="KBI4" s="79"/>
      <c r="KBJ4" s="80"/>
      <c r="KBK4" s="80"/>
      <c r="KBL4" s="80"/>
      <c r="KBM4" s="79"/>
      <c r="KBN4" s="80"/>
      <c r="KBO4" s="80"/>
      <c r="KBP4" s="80"/>
      <c r="KBQ4" s="79"/>
      <c r="KBR4" s="80"/>
      <c r="KBS4" s="80"/>
      <c r="KBT4" s="80"/>
      <c r="KBU4" s="79"/>
      <c r="KBV4" s="80"/>
      <c r="KBW4" s="80"/>
      <c r="KBX4" s="80"/>
      <c r="KBY4" s="79"/>
      <c r="KBZ4" s="80"/>
      <c r="KCA4" s="80"/>
      <c r="KCB4" s="80"/>
      <c r="KCC4" s="79"/>
      <c r="KCD4" s="80"/>
      <c r="KCE4" s="80"/>
      <c r="KCF4" s="80"/>
      <c r="KCG4" s="79"/>
      <c r="KCH4" s="80"/>
      <c r="KCI4" s="80"/>
      <c r="KCJ4" s="80"/>
      <c r="KCK4" s="79"/>
      <c r="KCL4" s="80"/>
      <c r="KCM4" s="80"/>
      <c r="KCN4" s="80"/>
      <c r="KCO4" s="79"/>
      <c r="KCP4" s="80"/>
      <c r="KCQ4" s="80"/>
      <c r="KCR4" s="80"/>
      <c r="KCS4" s="79"/>
      <c r="KCT4" s="80"/>
      <c r="KCU4" s="80"/>
      <c r="KCV4" s="80"/>
      <c r="KCW4" s="79"/>
      <c r="KCX4" s="80"/>
      <c r="KCY4" s="80"/>
      <c r="KCZ4" s="80"/>
      <c r="KDA4" s="79"/>
      <c r="KDB4" s="80"/>
      <c r="KDC4" s="80"/>
      <c r="KDD4" s="80"/>
      <c r="KDE4" s="79"/>
      <c r="KDF4" s="80"/>
      <c r="KDG4" s="80"/>
      <c r="KDH4" s="80"/>
      <c r="KDI4" s="79"/>
      <c r="KDJ4" s="80"/>
      <c r="KDK4" s="80"/>
      <c r="KDL4" s="80"/>
      <c r="KDM4" s="79"/>
      <c r="KDN4" s="80"/>
      <c r="KDO4" s="80"/>
      <c r="KDP4" s="80"/>
      <c r="KDQ4" s="79"/>
      <c r="KDR4" s="80"/>
      <c r="KDS4" s="80"/>
      <c r="KDT4" s="80"/>
      <c r="KDU4" s="79"/>
      <c r="KDV4" s="80"/>
      <c r="KDW4" s="80"/>
      <c r="KDX4" s="80"/>
      <c r="KDY4" s="79"/>
      <c r="KDZ4" s="80"/>
      <c r="KEA4" s="80"/>
      <c r="KEB4" s="80"/>
      <c r="KEC4" s="79"/>
      <c r="KED4" s="80"/>
      <c r="KEE4" s="80"/>
      <c r="KEF4" s="80"/>
      <c r="KEG4" s="79"/>
      <c r="KEH4" s="80"/>
      <c r="KEI4" s="80"/>
      <c r="KEJ4" s="80"/>
      <c r="KEK4" s="79"/>
      <c r="KEL4" s="80"/>
      <c r="KEM4" s="80"/>
      <c r="KEN4" s="80"/>
      <c r="KEO4" s="79"/>
      <c r="KEP4" s="80"/>
      <c r="KEQ4" s="80"/>
      <c r="KER4" s="80"/>
      <c r="KES4" s="79"/>
      <c r="KET4" s="80"/>
      <c r="KEU4" s="80"/>
      <c r="KEV4" s="80"/>
      <c r="KEW4" s="79"/>
      <c r="KEX4" s="80"/>
      <c r="KEY4" s="80"/>
      <c r="KEZ4" s="80"/>
      <c r="KFA4" s="79"/>
      <c r="KFB4" s="80"/>
      <c r="KFC4" s="80"/>
      <c r="KFD4" s="80"/>
      <c r="KFE4" s="79"/>
      <c r="KFF4" s="80"/>
      <c r="KFG4" s="80"/>
      <c r="KFH4" s="80"/>
      <c r="KFI4" s="79"/>
      <c r="KFJ4" s="80"/>
      <c r="KFK4" s="80"/>
      <c r="KFL4" s="80"/>
      <c r="KFM4" s="79"/>
      <c r="KFN4" s="80"/>
      <c r="KFO4" s="80"/>
      <c r="KFP4" s="80"/>
      <c r="KFQ4" s="79"/>
      <c r="KFR4" s="80"/>
      <c r="KFS4" s="80"/>
      <c r="KFT4" s="80"/>
      <c r="KFU4" s="79"/>
      <c r="KFV4" s="80"/>
      <c r="KFW4" s="80"/>
      <c r="KFX4" s="80"/>
      <c r="KFY4" s="79"/>
      <c r="KFZ4" s="80"/>
      <c r="KGA4" s="80"/>
      <c r="KGB4" s="80"/>
      <c r="KGC4" s="79"/>
      <c r="KGD4" s="80"/>
      <c r="KGE4" s="80"/>
      <c r="KGF4" s="80"/>
      <c r="KGG4" s="79"/>
      <c r="KGH4" s="80"/>
      <c r="KGI4" s="80"/>
      <c r="KGJ4" s="80"/>
      <c r="KGK4" s="79"/>
      <c r="KGL4" s="80"/>
      <c r="KGM4" s="80"/>
      <c r="KGN4" s="80"/>
      <c r="KGO4" s="79"/>
      <c r="KGP4" s="80"/>
      <c r="KGQ4" s="80"/>
      <c r="KGR4" s="80"/>
      <c r="KGS4" s="79"/>
      <c r="KGT4" s="80"/>
      <c r="KGU4" s="80"/>
      <c r="KGV4" s="80"/>
      <c r="KGW4" s="79"/>
      <c r="KGX4" s="80"/>
      <c r="KGY4" s="80"/>
      <c r="KGZ4" s="80"/>
      <c r="KHA4" s="79"/>
      <c r="KHB4" s="80"/>
      <c r="KHC4" s="80"/>
      <c r="KHD4" s="80"/>
      <c r="KHE4" s="79"/>
      <c r="KHF4" s="80"/>
      <c r="KHG4" s="80"/>
      <c r="KHH4" s="80"/>
      <c r="KHI4" s="79"/>
      <c r="KHJ4" s="80"/>
      <c r="KHK4" s="80"/>
      <c r="KHL4" s="80"/>
      <c r="KHM4" s="79"/>
      <c r="KHN4" s="80"/>
      <c r="KHO4" s="80"/>
      <c r="KHP4" s="80"/>
      <c r="KHQ4" s="79"/>
      <c r="KHR4" s="80"/>
      <c r="KHS4" s="80"/>
      <c r="KHT4" s="80"/>
      <c r="KHU4" s="79"/>
      <c r="KHV4" s="80"/>
      <c r="KHW4" s="80"/>
      <c r="KHX4" s="80"/>
      <c r="KHY4" s="79"/>
      <c r="KHZ4" s="80"/>
      <c r="KIA4" s="80"/>
      <c r="KIB4" s="80"/>
      <c r="KIC4" s="79"/>
      <c r="KID4" s="80"/>
      <c r="KIE4" s="80"/>
      <c r="KIF4" s="80"/>
      <c r="KIG4" s="79"/>
      <c r="KIH4" s="80"/>
      <c r="KII4" s="80"/>
      <c r="KIJ4" s="80"/>
      <c r="KIK4" s="79"/>
      <c r="KIL4" s="80"/>
      <c r="KIM4" s="80"/>
      <c r="KIN4" s="80"/>
      <c r="KIO4" s="79"/>
      <c r="KIP4" s="80"/>
      <c r="KIQ4" s="80"/>
      <c r="KIR4" s="80"/>
      <c r="KIS4" s="79"/>
      <c r="KIT4" s="80"/>
      <c r="KIU4" s="80"/>
      <c r="KIV4" s="80"/>
      <c r="KIW4" s="79"/>
      <c r="KIX4" s="80"/>
      <c r="KIY4" s="80"/>
      <c r="KIZ4" s="80"/>
      <c r="KJA4" s="79"/>
      <c r="KJB4" s="80"/>
      <c r="KJC4" s="80"/>
      <c r="KJD4" s="80"/>
      <c r="KJE4" s="79"/>
      <c r="KJF4" s="80"/>
      <c r="KJG4" s="80"/>
      <c r="KJH4" s="80"/>
      <c r="KJI4" s="79"/>
      <c r="KJJ4" s="80"/>
      <c r="KJK4" s="80"/>
      <c r="KJL4" s="80"/>
      <c r="KJM4" s="79"/>
      <c r="KJN4" s="80"/>
      <c r="KJO4" s="80"/>
      <c r="KJP4" s="80"/>
      <c r="KJQ4" s="79"/>
      <c r="KJR4" s="80"/>
      <c r="KJS4" s="80"/>
      <c r="KJT4" s="80"/>
      <c r="KJU4" s="79"/>
      <c r="KJV4" s="80"/>
      <c r="KJW4" s="80"/>
      <c r="KJX4" s="80"/>
      <c r="KJY4" s="79"/>
      <c r="KJZ4" s="80"/>
      <c r="KKA4" s="80"/>
      <c r="KKB4" s="80"/>
      <c r="KKC4" s="79"/>
      <c r="KKD4" s="80"/>
      <c r="KKE4" s="80"/>
      <c r="KKF4" s="80"/>
      <c r="KKG4" s="79"/>
      <c r="KKH4" s="80"/>
      <c r="KKI4" s="80"/>
      <c r="KKJ4" s="80"/>
      <c r="KKK4" s="79"/>
      <c r="KKL4" s="80"/>
      <c r="KKM4" s="80"/>
      <c r="KKN4" s="80"/>
      <c r="KKO4" s="79"/>
      <c r="KKP4" s="80"/>
      <c r="KKQ4" s="80"/>
      <c r="KKR4" s="80"/>
      <c r="KKS4" s="79"/>
      <c r="KKT4" s="80"/>
      <c r="KKU4" s="80"/>
      <c r="KKV4" s="80"/>
      <c r="KKW4" s="79"/>
      <c r="KKX4" s="80"/>
      <c r="KKY4" s="80"/>
      <c r="KKZ4" s="80"/>
      <c r="KLA4" s="79"/>
      <c r="KLB4" s="80"/>
      <c r="KLC4" s="80"/>
      <c r="KLD4" s="80"/>
      <c r="KLE4" s="79"/>
      <c r="KLF4" s="80"/>
      <c r="KLG4" s="80"/>
      <c r="KLH4" s="80"/>
      <c r="KLI4" s="79"/>
      <c r="KLJ4" s="80"/>
      <c r="KLK4" s="80"/>
      <c r="KLL4" s="80"/>
      <c r="KLM4" s="79"/>
      <c r="KLN4" s="80"/>
      <c r="KLO4" s="80"/>
      <c r="KLP4" s="80"/>
      <c r="KLQ4" s="79"/>
      <c r="KLR4" s="80"/>
      <c r="KLS4" s="80"/>
      <c r="KLT4" s="80"/>
      <c r="KLU4" s="79"/>
      <c r="KLV4" s="80"/>
      <c r="KLW4" s="80"/>
      <c r="KLX4" s="80"/>
      <c r="KLY4" s="79"/>
      <c r="KLZ4" s="80"/>
      <c r="KMA4" s="80"/>
      <c r="KMB4" s="80"/>
      <c r="KMC4" s="79"/>
      <c r="KMD4" s="80"/>
      <c r="KME4" s="80"/>
      <c r="KMF4" s="80"/>
      <c r="KMG4" s="79"/>
      <c r="KMH4" s="80"/>
      <c r="KMI4" s="80"/>
      <c r="KMJ4" s="80"/>
      <c r="KMK4" s="79"/>
      <c r="KML4" s="80"/>
      <c r="KMM4" s="80"/>
      <c r="KMN4" s="80"/>
      <c r="KMO4" s="79"/>
      <c r="KMP4" s="80"/>
      <c r="KMQ4" s="80"/>
      <c r="KMR4" s="80"/>
      <c r="KMS4" s="79"/>
      <c r="KMT4" s="80"/>
      <c r="KMU4" s="80"/>
      <c r="KMV4" s="80"/>
      <c r="KMW4" s="79"/>
      <c r="KMX4" s="80"/>
      <c r="KMY4" s="80"/>
      <c r="KMZ4" s="80"/>
      <c r="KNA4" s="79"/>
      <c r="KNB4" s="80"/>
      <c r="KNC4" s="80"/>
      <c r="KND4" s="80"/>
      <c r="KNE4" s="79"/>
      <c r="KNF4" s="80"/>
      <c r="KNG4" s="80"/>
      <c r="KNH4" s="80"/>
      <c r="KNI4" s="79"/>
      <c r="KNJ4" s="80"/>
      <c r="KNK4" s="80"/>
      <c r="KNL4" s="80"/>
      <c r="KNM4" s="79"/>
      <c r="KNN4" s="80"/>
      <c r="KNO4" s="80"/>
      <c r="KNP4" s="80"/>
      <c r="KNQ4" s="79"/>
      <c r="KNR4" s="80"/>
      <c r="KNS4" s="80"/>
      <c r="KNT4" s="80"/>
      <c r="KNU4" s="79"/>
      <c r="KNV4" s="80"/>
      <c r="KNW4" s="80"/>
      <c r="KNX4" s="80"/>
      <c r="KNY4" s="79"/>
      <c r="KNZ4" s="80"/>
      <c r="KOA4" s="80"/>
      <c r="KOB4" s="80"/>
      <c r="KOC4" s="79"/>
      <c r="KOD4" s="80"/>
      <c r="KOE4" s="80"/>
      <c r="KOF4" s="80"/>
      <c r="KOG4" s="79"/>
      <c r="KOH4" s="80"/>
      <c r="KOI4" s="80"/>
      <c r="KOJ4" s="80"/>
      <c r="KOK4" s="79"/>
      <c r="KOL4" s="80"/>
      <c r="KOM4" s="80"/>
      <c r="KON4" s="80"/>
      <c r="KOO4" s="79"/>
      <c r="KOP4" s="80"/>
      <c r="KOQ4" s="80"/>
      <c r="KOR4" s="80"/>
      <c r="KOS4" s="79"/>
      <c r="KOT4" s="80"/>
      <c r="KOU4" s="80"/>
      <c r="KOV4" s="80"/>
      <c r="KOW4" s="79"/>
      <c r="KOX4" s="80"/>
      <c r="KOY4" s="80"/>
      <c r="KOZ4" s="80"/>
      <c r="KPA4" s="79"/>
      <c r="KPB4" s="80"/>
      <c r="KPC4" s="80"/>
      <c r="KPD4" s="80"/>
      <c r="KPE4" s="79"/>
      <c r="KPF4" s="80"/>
      <c r="KPG4" s="80"/>
      <c r="KPH4" s="80"/>
      <c r="KPI4" s="79"/>
      <c r="KPJ4" s="80"/>
      <c r="KPK4" s="80"/>
      <c r="KPL4" s="80"/>
      <c r="KPM4" s="79"/>
      <c r="KPN4" s="80"/>
      <c r="KPO4" s="80"/>
      <c r="KPP4" s="80"/>
      <c r="KPQ4" s="79"/>
      <c r="KPR4" s="80"/>
      <c r="KPS4" s="80"/>
      <c r="KPT4" s="80"/>
      <c r="KPU4" s="79"/>
      <c r="KPV4" s="80"/>
      <c r="KPW4" s="80"/>
      <c r="KPX4" s="80"/>
      <c r="KPY4" s="79"/>
      <c r="KPZ4" s="80"/>
      <c r="KQA4" s="80"/>
      <c r="KQB4" s="80"/>
      <c r="KQC4" s="79"/>
      <c r="KQD4" s="80"/>
      <c r="KQE4" s="80"/>
      <c r="KQF4" s="80"/>
      <c r="KQG4" s="79"/>
      <c r="KQH4" s="80"/>
      <c r="KQI4" s="80"/>
      <c r="KQJ4" s="80"/>
      <c r="KQK4" s="79"/>
      <c r="KQL4" s="80"/>
      <c r="KQM4" s="80"/>
      <c r="KQN4" s="80"/>
      <c r="KQO4" s="79"/>
      <c r="KQP4" s="80"/>
      <c r="KQQ4" s="80"/>
      <c r="KQR4" s="80"/>
      <c r="KQS4" s="79"/>
      <c r="KQT4" s="80"/>
      <c r="KQU4" s="80"/>
      <c r="KQV4" s="80"/>
      <c r="KQW4" s="79"/>
      <c r="KQX4" s="80"/>
      <c r="KQY4" s="80"/>
      <c r="KQZ4" s="80"/>
      <c r="KRA4" s="79"/>
      <c r="KRB4" s="80"/>
      <c r="KRC4" s="80"/>
      <c r="KRD4" s="80"/>
      <c r="KRE4" s="79"/>
      <c r="KRF4" s="80"/>
      <c r="KRG4" s="80"/>
      <c r="KRH4" s="80"/>
      <c r="KRI4" s="79"/>
      <c r="KRJ4" s="80"/>
      <c r="KRK4" s="80"/>
      <c r="KRL4" s="80"/>
      <c r="KRM4" s="79"/>
      <c r="KRN4" s="80"/>
      <c r="KRO4" s="80"/>
      <c r="KRP4" s="80"/>
      <c r="KRQ4" s="79"/>
      <c r="KRR4" s="80"/>
      <c r="KRS4" s="80"/>
      <c r="KRT4" s="80"/>
      <c r="KRU4" s="79"/>
      <c r="KRV4" s="80"/>
      <c r="KRW4" s="80"/>
      <c r="KRX4" s="80"/>
      <c r="KRY4" s="79"/>
      <c r="KRZ4" s="80"/>
      <c r="KSA4" s="80"/>
      <c r="KSB4" s="80"/>
      <c r="KSC4" s="79"/>
      <c r="KSD4" s="80"/>
      <c r="KSE4" s="80"/>
      <c r="KSF4" s="80"/>
      <c r="KSG4" s="79"/>
      <c r="KSH4" s="80"/>
      <c r="KSI4" s="80"/>
      <c r="KSJ4" s="80"/>
      <c r="KSK4" s="79"/>
      <c r="KSL4" s="80"/>
      <c r="KSM4" s="80"/>
      <c r="KSN4" s="80"/>
      <c r="KSO4" s="79"/>
      <c r="KSP4" s="80"/>
      <c r="KSQ4" s="80"/>
      <c r="KSR4" s="80"/>
      <c r="KSS4" s="79"/>
      <c r="KST4" s="80"/>
      <c r="KSU4" s="80"/>
      <c r="KSV4" s="80"/>
      <c r="KSW4" s="79"/>
      <c r="KSX4" s="80"/>
      <c r="KSY4" s="80"/>
      <c r="KSZ4" s="80"/>
      <c r="KTA4" s="79"/>
      <c r="KTB4" s="80"/>
      <c r="KTC4" s="80"/>
      <c r="KTD4" s="80"/>
      <c r="KTE4" s="79"/>
      <c r="KTF4" s="80"/>
      <c r="KTG4" s="80"/>
      <c r="KTH4" s="80"/>
      <c r="KTI4" s="79"/>
      <c r="KTJ4" s="80"/>
      <c r="KTK4" s="80"/>
      <c r="KTL4" s="80"/>
      <c r="KTM4" s="79"/>
      <c r="KTN4" s="80"/>
      <c r="KTO4" s="80"/>
      <c r="KTP4" s="80"/>
      <c r="KTQ4" s="79"/>
      <c r="KTR4" s="80"/>
      <c r="KTS4" s="80"/>
      <c r="KTT4" s="80"/>
      <c r="KTU4" s="79"/>
      <c r="KTV4" s="80"/>
      <c r="KTW4" s="80"/>
      <c r="KTX4" s="80"/>
      <c r="KTY4" s="79"/>
      <c r="KTZ4" s="80"/>
      <c r="KUA4" s="80"/>
      <c r="KUB4" s="80"/>
      <c r="KUC4" s="79"/>
      <c r="KUD4" s="80"/>
      <c r="KUE4" s="80"/>
      <c r="KUF4" s="80"/>
      <c r="KUG4" s="79"/>
      <c r="KUH4" s="80"/>
      <c r="KUI4" s="80"/>
      <c r="KUJ4" s="80"/>
      <c r="KUK4" s="79"/>
      <c r="KUL4" s="80"/>
      <c r="KUM4" s="80"/>
      <c r="KUN4" s="80"/>
      <c r="KUO4" s="79"/>
      <c r="KUP4" s="80"/>
      <c r="KUQ4" s="80"/>
      <c r="KUR4" s="80"/>
      <c r="KUS4" s="79"/>
      <c r="KUT4" s="80"/>
      <c r="KUU4" s="80"/>
      <c r="KUV4" s="80"/>
      <c r="KUW4" s="79"/>
      <c r="KUX4" s="80"/>
      <c r="KUY4" s="80"/>
      <c r="KUZ4" s="80"/>
      <c r="KVA4" s="79"/>
      <c r="KVB4" s="80"/>
      <c r="KVC4" s="80"/>
      <c r="KVD4" s="80"/>
      <c r="KVE4" s="79"/>
      <c r="KVF4" s="80"/>
      <c r="KVG4" s="80"/>
      <c r="KVH4" s="80"/>
      <c r="KVI4" s="79"/>
      <c r="KVJ4" s="80"/>
      <c r="KVK4" s="80"/>
      <c r="KVL4" s="80"/>
      <c r="KVM4" s="79"/>
      <c r="KVN4" s="80"/>
      <c r="KVO4" s="80"/>
      <c r="KVP4" s="80"/>
      <c r="KVQ4" s="79"/>
      <c r="KVR4" s="80"/>
      <c r="KVS4" s="80"/>
      <c r="KVT4" s="80"/>
      <c r="KVU4" s="79"/>
      <c r="KVV4" s="80"/>
      <c r="KVW4" s="80"/>
      <c r="KVX4" s="80"/>
      <c r="KVY4" s="79"/>
      <c r="KVZ4" s="80"/>
      <c r="KWA4" s="80"/>
      <c r="KWB4" s="80"/>
      <c r="KWC4" s="79"/>
      <c r="KWD4" s="80"/>
      <c r="KWE4" s="80"/>
      <c r="KWF4" s="80"/>
      <c r="KWG4" s="79"/>
      <c r="KWH4" s="80"/>
      <c r="KWI4" s="80"/>
      <c r="KWJ4" s="80"/>
      <c r="KWK4" s="79"/>
      <c r="KWL4" s="80"/>
      <c r="KWM4" s="80"/>
      <c r="KWN4" s="80"/>
      <c r="KWO4" s="79"/>
      <c r="KWP4" s="80"/>
      <c r="KWQ4" s="80"/>
      <c r="KWR4" s="80"/>
      <c r="KWS4" s="79"/>
      <c r="KWT4" s="80"/>
      <c r="KWU4" s="80"/>
      <c r="KWV4" s="80"/>
      <c r="KWW4" s="79"/>
      <c r="KWX4" s="80"/>
      <c r="KWY4" s="80"/>
      <c r="KWZ4" s="80"/>
      <c r="KXA4" s="79"/>
      <c r="KXB4" s="80"/>
      <c r="KXC4" s="80"/>
      <c r="KXD4" s="80"/>
      <c r="KXE4" s="79"/>
      <c r="KXF4" s="80"/>
      <c r="KXG4" s="80"/>
      <c r="KXH4" s="80"/>
      <c r="KXI4" s="79"/>
      <c r="KXJ4" s="80"/>
      <c r="KXK4" s="80"/>
      <c r="KXL4" s="80"/>
      <c r="KXM4" s="79"/>
      <c r="KXN4" s="80"/>
      <c r="KXO4" s="80"/>
      <c r="KXP4" s="80"/>
      <c r="KXQ4" s="79"/>
      <c r="KXR4" s="80"/>
      <c r="KXS4" s="80"/>
      <c r="KXT4" s="80"/>
      <c r="KXU4" s="79"/>
      <c r="KXV4" s="80"/>
      <c r="KXW4" s="80"/>
      <c r="KXX4" s="80"/>
      <c r="KXY4" s="79"/>
      <c r="KXZ4" s="80"/>
      <c r="KYA4" s="80"/>
      <c r="KYB4" s="80"/>
      <c r="KYC4" s="79"/>
      <c r="KYD4" s="80"/>
      <c r="KYE4" s="80"/>
      <c r="KYF4" s="80"/>
      <c r="KYG4" s="79"/>
      <c r="KYH4" s="80"/>
      <c r="KYI4" s="80"/>
      <c r="KYJ4" s="80"/>
      <c r="KYK4" s="79"/>
      <c r="KYL4" s="80"/>
      <c r="KYM4" s="80"/>
      <c r="KYN4" s="80"/>
      <c r="KYO4" s="79"/>
      <c r="KYP4" s="80"/>
      <c r="KYQ4" s="80"/>
      <c r="KYR4" s="80"/>
      <c r="KYS4" s="79"/>
      <c r="KYT4" s="80"/>
      <c r="KYU4" s="80"/>
      <c r="KYV4" s="80"/>
      <c r="KYW4" s="79"/>
      <c r="KYX4" s="80"/>
      <c r="KYY4" s="80"/>
      <c r="KYZ4" s="80"/>
      <c r="KZA4" s="79"/>
      <c r="KZB4" s="80"/>
      <c r="KZC4" s="80"/>
      <c r="KZD4" s="80"/>
      <c r="KZE4" s="79"/>
      <c r="KZF4" s="80"/>
      <c r="KZG4" s="80"/>
      <c r="KZH4" s="80"/>
      <c r="KZI4" s="79"/>
      <c r="KZJ4" s="80"/>
      <c r="KZK4" s="80"/>
      <c r="KZL4" s="80"/>
      <c r="KZM4" s="79"/>
      <c r="KZN4" s="80"/>
      <c r="KZO4" s="80"/>
      <c r="KZP4" s="80"/>
      <c r="KZQ4" s="79"/>
      <c r="KZR4" s="80"/>
      <c r="KZS4" s="80"/>
      <c r="KZT4" s="80"/>
      <c r="KZU4" s="79"/>
      <c r="KZV4" s="80"/>
      <c r="KZW4" s="80"/>
      <c r="KZX4" s="80"/>
      <c r="KZY4" s="79"/>
      <c r="KZZ4" s="80"/>
      <c r="LAA4" s="80"/>
      <c r="LAB4" s="80"/>
      <c r="LAC4" s="79"/>
      <c r="LAD4" s="80"/>
      <c r="LAE4" s="80"/>
      <c r="LAF4" s="80"/>
      <c r="LAG4" s="79"/>
      <c r="LAH4" s="80"/>
      <c r="LAI4" s="80"/>
      <c r="LAJ4" s="80"/>
      <c r="LAK4" s="79"/>
      <c r="LAL4" s="80"/>
      <c r="LAM4" s="80"/>
      <c r="LAN4" s="80"/>
      <c r="LAO4" s="79"/>
      <c r="LAP4" s="80"/>
      <c r="LAQ4" s="80"/>
      <c r="LAR4" s="80"/>
      <c r="LAS4" s="79"/>
      <c r="LAT4" s="80"/>
      <c r="LAU4" s="80"/>
      <c r="LAV4" s="80"/>
      <c r="LAW4" s="79"/>
      <c r="LAX4" s="80"/>
      <c r="LAY4" s="80"/>
      <c r="LAZ4" s="80"/>
      <c r="LBA4" s="79"/>
      <c r="LBB4" s="80"/>
      <c r="LBC4" s="80"/>
      <c r="LBD4" s="80"/>
      <c r="LBE4" s="79"/>
      <c r="LBF4" s="80"/>
      <c r="LBG4" s="80"/>
      <c r="LBH4" s="80"/>
      <c r="LBI4" s="79"/>
      <c r="LBJ4" s="80"/>
      <c r="LBK4" s="80"/>
      <c r="LBL4" s="80"/>
      <c r="LBM4" s="79"/>
      <c r="LBN4" s="80"/>
      <c r="LBO4" s="80"/>
      <c r="LBP4" s="80"/>
      <c r="LBQ4" s="79"/>
      <c r="LBR4" s="80"/>
      <c r="LBS4" s="80"/>
      <c r="LBT4" s="80"/>
      <c r="LBU4" s="79"/>
      <c r="LBV4" s="80"/>
      <c r="LBW4" s="80"/>
      <c r="LBX4" s="80"/>
      <c r="LBY4" s="79"/>
      <c r="LBZ4" s="80"/>
      <c r="LCA4" s="80"/>
      <c r="LCB4" s="80"/>
      <c r="LCC4" s="79"/>
      <c r="LCD4" s="80"/>
      <c r="LCE4" s="80"/>
      <c r="LCF4" s="80"/>
      <c r="LCG4" s="79"/>
      <c r="LCH4" s="80"/>
      <c r="LCI4" s="80"/>
      <c r="LCJ4" s="80"/>
      <c r="LCK4" s="79"/>
      <c r="LCL4" s="80"/>
      <c r="LCM4" s="80"/>
      <c r="LCN4" s="80"/>
      <c r="LCO4" s="79"/>
      <c r="LCP4" s="80"/>
      <c r="LCQ4" s="80"/>
      <c r="LCR4" s="80"/>
      <c r="LCS4" s="79"/>
      <c r="LCT4" s="80"/>
      <c r="LCU4" s="80"/>
      <c r="LCV4" s="80"/>
      <c r="LCW4" s="79"/>
      <c r="LCX4" s="80"/>
      <c r="LCY4" s="80"/>
      <c r="LCZ4" s="80"/>
      <c r="LDA4" s="79"/>
      <c r="LDB4" s="80"/>
      <c r="LDC4" s="80"/>
      <c r="LDD4" s="80"/>
      <c r="LDE4" s="79"/>
      <c r="LDF4" s="80"/>
      <c r="LDG4" s="80"/>
      <c r="LDH4" s="80"/>
      <c r="LDI4" s="79"/>
      <c r="LDJ4" s="80"/>
      <c r="LDK4" s="80"/>
      <c r="LDL4" s="80"/>
      <c r="LDM4" s="79"/>
      <c r="LDN4" s="80"/>
      <c r="LDO4" s="80"/>
      <c r="LDP4" s="80"/>
      <c r="LDQ4" s="79"/>
      <c r="LDR4" s="80"/>
      <c r="LDS4" s="80"/>
      <c r="LDT4" s="80"/>
      <c r="LDU4" s="79"/>
      <c r="LDV4" s="80"/>
      <c r="LDW4" s="80"/>
      <c r="LDX4" s="80"/>
      <c r="LDY4" s="79"/>
      <c r="LDZ4" s="80"/>
      <c r="LEA4" s="80"/>
      <c r="LEB4" s="80"/>
      <c r="LEC4" s="79"/>
      <c r="LED4" s="80"/>
      <c r="LEE4" s="80"/>
      <c r="LEF4" s="80"/>
      <c r="LEG4" s="79"/>
      <c r="LEH4" s="80"/>
      <c r="LEI4" s="80"/>
      <c r="LEJ4" s="80"/>
      <c r="LEK4" s="79"/>
      <c r="LEL4" s="80"/>
      <c r="LEM4" s="80"/>
      <c r="LEN4" s="80"/>
      <c r="LEO4" s="79"/>
      <c r="LEP4" s="80"/>
      <c r="LEQ4" s="80"/>
      <c r="LER4" s="80"/>
      <c r="LES4" s="79"/>
      <c r="LET4" s="80"/>
      <c r="LEU4" s="80"/>
      <c r="LEV4" s="80"/>
      <c r="LEW4" s="79"/>
      <c r="LEX4" s="80"/>
      <c r="LEY4" s="80"/>
      <c r="LEZ4" s="80"/>
      <c r="LFA4" s="79"/>
      <c r="LFB4" s="80"/>
      <c r="LFC4" s="80"/>
      <c r="LFD4" s="80"/>
      <c r="LFE4" s="79"/>
      <c r="LFF4" s="80"/>
      <c r="LFG4" s="80"/>
      <c r="LFH4" s="80"/>
      <c r="LFI4" s="79"/>
      <c r="LFJ4" s="80"/>
      <c r="LFK4" s="80"/>
      <c r="LFL4" s="80"/>
      <c r="LFM4" s="79"/>
      <c r="LFN4" s="80"/>
      <c r="LFO4" s="80"/>
      <c r="LFP4" s="80"/>
      <c r="LFQ4" s="79"/>
      <c r="LFR4" s="80"/>
      <c r="LFS4" s="80"/>
      <c r="LFT4" s="80"/>
      <c r="LFU4" s="79"/>
      <c r="LFV4" s="80"/>
      <c r="LFW4" s="80"/>
      <c r="LFX4" s="80"/>
      <c r="LFY4" s="79"/>
      <c r="LFZ4" s="80"/>
      <c r="LGA4" s="80"/>
      <c r="LGB4" s="80"/>
      <c r="LGC4" s="79"/>
      <c r="LGD4" s="80"/>
      <c r="LGE4" s="80"/>
      <c r="LGF4" s="80"/>
      <c r="LGG4" s="79"/>
      <c r="LGH4" s="80"/>
      <c r="LGI4" s="80"/>
      <c r="LGJ4" s="80"/>
      <c r="LGK4" s="79"/>
      <c r="LGL4" s="80"/>
      <c r="LGM4" s="80"/>
      <c r="LGN4" s="80"/>
      <c r="LGO4" s="79"/>
      <c r="LGP4" s="80"/>
      <c r="LGQ4" s="80"/>
      <c r="LGR4" s="80"/>
      <c r="LGS4" s="79"/>
      <c r="LGT4" s="80"/>
      <c r="LGU4" s="80"/>
      <c r="LGV4" s="80"/>
      <c r="LGW4" s="79"/>
      <c r="LGX4" s="80"/>
      <c r="LGY4" s="80"/>
      <c r="LGZ4" s="80"/>
      <c r="LHA4" s="79"/>
      <c r="LHB4" s="80"/>
      <c r="LHC4" s="80"/>
      <c r="LHD4" s="80"/>
      <c r="LHE4" s="79"/>
      <c r="LHF4" s="80"/>
      <c r="LHG4" s="80"/>
      <c r="LHH4" s="80"/>
      <c r="LHI4" s="79"/>
      <c r="LHJ4" s="80"/>
      <c r="LHK4" s="80"/>
      <c r="LHL4" s="80"/>
      <c r="LHM4" s="79"/>
      <c r="LHN4" s="80"/>
      <c r="LHO4" s="80"/>
      <c r="LHP4" s="80"/>
      <c r="LHQ4" s="79"/>
      <c r="LHR4" s="80"/>
      <c r="LHS4" s="80"/>
      <c r="LHT4" s="80"/>
      <c r="LHU4" s="79"/>
      <c r="LHV4" s="80"/>
      <c r="LHW4" s="80"/>
      <c r="LHX4" s="80"/>
      <c r="LHY4" s="79"/>
      <c r="LHZ4" s="80"/>
      <c r="LIA4" s="80"/>
      <c r="LIB4" s="80"/>
      <c r="LIC4" s="79"/>
      <c r="LID4" s="80"/>
      <c r="LIE4" s="80"/>
      <c r="LIF4" s="80"/>
      <c r="LIG4" s="79"/>
      <c r="LIH4" s="80"/>
      <c r="LII4" s="80"/>
      <c r="LIJ4" s="80"/>
      <c r="LIK4" s="79"/>
      <c r="LIL4" s="80"/>
      <c r="LIM4" s="80"/>
      <c r="LIN4" s="80"/>
      <c r="LIO4" s="79"/>
      <c r="LIP4" s="80"/>
      <c r="LIQ4" s="80"/>
      <c r="LIR4" s="80"/>
      <c r="LIS4" s="79"/>
      <c r="LIT4" s="80"/>
      <c r="LIU4" s="80"/>
      <c r="LIV4" s="80"/>
      <c r="LIW4" s="79"/>
      <c r="LIX4" s="80"/>
      <c r="LIY4" s="80"/>
      <c r="LIZ4" s="80"/>
      <c r="LJA4" s="79"/>
      <c r="LJB4" s="80"/>
      <c r="LJC4" s="80"/>
      <c r="LJD4" s="80"/>
      <c r="LJE4" s="79"/>
      <c r="LJF4" s="80"/>
      <c r="LJG4" s="80"/>
      <c r="LJH4" s="80"/>
      <c r="LJI4" s="79"/>
      <c r="LJJ4" s="80"/>
      <c r="LJK4" s="80"/>
      <c r="LJL4" s="80"/>
      <c r="LJM4" s="79"/>
      <c r="LJN4" s="80"/>
      <c r="LJO4" s="80"/>
      <c r="LJP4" s="80"/>
      <c r="LJQ4" s="79"/>
      <c r="LJR4" s="80"/>
      <c r="LJS4" s="80"/>
      <c r="LJT4" s="80"/>
      <c r="LJU4" s="79"/>
      <c r="LJV4" s="80"/>
      <c r="LJW4" s="80"/>
      <c r="LJX4" s="80"/>
      <c r="LJY4" s="79"/>
      <c r="LJZ4" s="80"/>
      <c r="LKA4" s="80"/>
      <c r="LKB4" s="80"/>
      <c r="LKC4" s="79"/>
      <c r="LKD4" s="80"/>
      <c r="LKE4" s="80"/>
      <c r="LKF4" s="80"/>
      <c r="LKG4" s="79"/>
      <c r="LKH4" s="80"/>
      <c r="LKI4" s="80"/>
      <c r="LKJ4" s="80"/>
      <c r="LKK4" s="79"/>
      <c r="LKL4" s="80"/>
      <c r="LKM4" s="80"/>
      <c r="LKN4" s="80"/>
      <c r="LKO4" s="79"/>
      <c r="LKP4" s="80"/>
      <c r="LKQ4" s="80"/>
      <c r="LKR4" s="80"/>
      <c r="LKS4" s="79"/>
      <c r="LKT4" s="80"/>
      <c r="LKU4" s="80"/>
      <c r="LKV4" s="80"/>
      <c r="LKW4" s="79"/>
      <c r="LKX4" s="80"/>
      <c r="LKY4" s="80"/>
      <c r="LKZ4" s="80"/>
      <c r="LLA4" s="79"/>
      <c r="LLB4" s="80"/>
      <c r="LLC4" s="80"/>
      <c r="LLD4" s="80"/>
      <c r="LLE4" s="79"/>
      <c r="LLF4" s="80"/>
      <c r="LLG4" s="80"/>
      <c r="LLH4" s="80"/>
      <c r="LLI4" s="79"/>
      <c r="LLJ4" s="80"/>
      <c r="LLK4" s="80"/>
      <c r="LLL4" s="80"/>
      <c r="LLM4" s="79"/>
      <c r="LLN4" s="80"/>
      <c r="LLO4" s="80"/>
      <c r="LLP4" s="80"/>
      <c r="LLQ4" s="79"/>
      <c r="LLR4" s="80"/>
      <c r="LLS4" s="80"/>
      <c r="LLT4" s="80"/>
      <c r="LLU4" s="79"/>
      <c r="LLV4" s="80"/>
      <c r="LLW4" s="80"/>
      <c r="LLX4" s="80"/>
      <c r="LLY4" s="79"/>
      <c r="LLZ4" s="80"/>
      <c r="LMA4" s="80"/>
      <c r="LMB4" s="80"/>
      <c r="LMC4" s="79"/>
      <c r="LMD4" s="80"/>
      <c r="LME4" s="80"/>
      <c r="LMF4" s="80"/>
      <c r="LMG4" s="79"/>
      <c r="LMH4" s="80"/>
      <c r="LMI4" s="80"/>
      <c r="LMJ4" s="80"/>
      <c r="LMK4" s="79"/>
      <c r="LML4" s="80"/>
      <c r="LMM4" s="80"/>
      <c r="LMN4" s="80"/>
      <c r="LMO4" s="79"/>
      <c r="LMP4" s="80"/>
      <c r="LMQ4" s="80"/>
      <c r="LMR4" s="80"/>
      <c r="LMS4" s="79"/>
      <c r="LMT4" s="80"/>
      <c r="LMU4" s="80"/>
      <c r="LMV4" s="80"/>
      <c r="LMW4" s="79"/>
      <c r="LMX4" s="80"/>
      <c r="LMY4" s="80"/>
      <c r="LMZ4" s="80"/>
      <c r="LNA4" s="79"/>
      <c r="LNB4" s="80"/>
      <c r="LNC4" s="80"/>
      <c r="LND4" s="80"/>
      <c r="LNE4" s="79"/>
      <c r="LNF4" s="80"/>
      <c r="LNG4" s="80"/>
      <c r="LNH4" s="80"/>
      <c r="LNI4" s="79"/>
      <c r="LNJ4" s="80"/>
      <c r="LNK4" s="80"/>
      <c r="LNL4" s="80"/>
      <c r="LNM4" s="79"/>
      <c r="LNN4" s="80"/>
      <c r="LNO4" s="80"/>
      <c r="LNP4" s="80"/>
      <c r="LNQ4" s="79"/>
      <c r="LNR4" s="80"/>
      <c r="LNS4" s="80"/>
      <c r="LNT4" s="80"/>
      <c r="LNU4" s="79"/>
      <c r="LNV4" s="80"/>
      <c r="LNW4" s="80"/>
      <c r="LNX4" s="80"/>
      <c r="LNY4" s="79"/>
      <c r="LNZ4" s="80"/>
      <c r="LOA4" s="80"/>
      <c r="LOB4" s="80"/>
      <c r="LOC4" s="79"/>
      <c r="LOD4" s="80"/>
      <c r="LOE4" s="80"/>
      <c r="LOF4" s="80"/>
      <c r="LOG4" s="79"/>
      <c r="LOH4" s="80"/>
      <c r="LOI4" s="80"/>
      <c r="LOJ4" s="80"/>
      <c r="LOK4" s="79"/>
      <c r="LOL4" s="80"/>
      <c r="LOM4" s="80"/>
      <c r="LON4" s="80"/>
      <c r="LOO4" s="79"/>
      <c r="LOP4" s="80"/>
      <c r="LOQ4" s="80"/>
      <c r="LOR4" s="80"/>
      <c r="LOS4" s="79"/>
      <c r="LOT4" s="80"/>
      <c r="LOU4" s="80"/>
      <c r="LOV4" s="80"/>
      <c r="LOW4" s="79"/>
      <c r="LOX4" s="80"/>
      <c r="LOY4" s="80"/>
      <c r="LOZ4" s="80"/>
      <c r="LPA4" s="79"/>
      <c r="LPB4" s="80"/>
      <c r="LPC4" s="80"/>
      <c r="LPD4" s="80"/>
      <c r="LPE4" s="79"/>
      <c r="LPF4" s="80"/>
      <c r="LPG4" s="80"/>
      <c r="LPH4" s="80"/>
      <c r="LPI4" s="79"/>
      <c r="LPJ4" s="80"/>
      <c r="LPK4" s="80"/>
      <c r="LPL4" s="80"/>
      <c r="LPM4" s="79"/>
      <c r="LPN4" s="80"/>
      <c r="LPO4" s="80"/>
      <c r="LPP4" s="80"/>
      <c r="LPQ4" s="79"/>
      <c r="LPR4" s="80"/>
      <c r="LPS4" s="80"/>
      <c r="LPT4" s="80"/>
      <c r="LPU4" s="79"/>
      <c r="LPV4" s="80"/>
      <c r="LPW4" s="80"/>
      <c r="LPX4" s="80"/>
      <c r="LPY4" s="79"/>
      <c r="LPZ4" s="80"/>
      <c r="LQA4" s="80"/>
      <c r="LQB4" s="80"/>
      <c r="LQC4" s="79"/>
      <c r="LQD4" s="80"/>
      <c r="LQE4" s="80"/>
      <c r="LQF4" s="80"/>
      <c r="LQG4" s="79"/>
      <c r="LQH4" s="80"/>
      <c r="LQI4" s="80"/>
      <c r="LQJ4" s="80"/>
      <c r="LQK4" s="79"/>
      <c r="LQL4" s="80"/>
      <c r="LQM4" s="80"/>
      <c r="LQN4" s="80"/>
      <c r="LQO4" s="79"/>
      <c r="LQP4" s="80"/>
      <c r="LQQ4" s="80"/>
      <c r="LQR4" s="80"/>
      <c r="LQS4" s="79"/>
      <c r="LQT4" s="80"/>
      <c r="LQU4" s="80"/>
      <c r="LQV4" s="80"/>
      <c r="LQW4" s="79"/>
      <c r="LQX4" s="80"/>
      <c r="LQY4" s="80"/>
      <c r="LQZ4" s="80"/>
      <c r="LRA4" s="79"/>
      <c r="LRB4" s="80"/>
      <c r="LRC4" s="80"/>
      <c r="LRD4" s="80"/>
      <c r="LRE4" s="79"/>
      <c r="LRF4" s="80"/>
      <c r="LRG4" s="80"/>
      <c r="LRH4" s="80"/>
      <c r="LRI4" s="79"/>
      <c r="LRJ4" s="80"/>
      <c r="LRK4" s="80"/>
      <c r="LRL4" s="80"/>
      <c r="LRM4" s="79"/>
      <c r="LRN4" s="80"/>
      <c r="LRO4" s="80"/>
      <c r="LRP4" s="80"/>
      <c r="LRQ4" s="79"/>
      <c r="LRR4" s="80"/>
      <c r="LRS4" s="80"/>
      <c r="LRT4" s="80"/>
      <c r="LRU4" s="79"/>
      <c r="LRV4" s="80"/>
      <c r="LRW4" s="80"/>
      <c r="LRX4" s="80"/>
      <c r="LRY4" s="79"/>
      <c r="LRZ4" s="80"/>
      <c r="LSA4" s="80"/>
      <c r="LSB4" s="80"/>
      <c r="LSC4" s="79"/>
      <c r="LSD4" s="80"/>
      <c r="LSE4" s="80"/>
      <c r="LSF4" s="80"/>
      <c r="LSG4" s="79"/>
      <c r="LSH4" s="80"/>
      <c r="LSI4" s="80"/>
      <c r="LSJ4" s="80"/>
      <c r="LSK4" s="79"/>
      <c r="LSL4" s="80"/>
      <c r="LSM4" s="80"/>
      <c r="LSN4" s="80"/>
      <c r="LSO4" s="79"/>
      <c r="LSP4" s="80"/>
      <c r="LSQ4" s="80"/>
      <c r="LSR4" s="80"/>
      <c r="LSS4" s="79"/>
      <c r="LST4" s="80"/>
      <c r="LSU4" s="80"/>
      <c r="LSV4" s="80"/>
      <c r="LSW4" s="79"/>
      <c r="LSX4" s="80"/>
      <c r="LSY4" s="80"/>
      <c r="LSZ4" s="80"/>
      <c r="LTA4" s="79"/>
      <c r="LTB4" s="80"/>
      <c r="LTC4" s="80"/>
      <c r="LTD4" s="80"/>
      <c r="LTE4" s="79"/>
      <c r="LTF4" s="80"/>
      <c r="LTG4" s="80"/>
      <c r="LTH4" s="80"/>
      <c r="LTI4" s="79"/>
      <c r="LTJ4" s="80"/>
      <c r="LTK4" s="80"/>
      <c r="LTL4" s="80"/>
      <c r="LTM4" s="79"/>
      <c r="LTN4" s="80"/>
      <c r="LTO4" s="80"/>
      <c r="LTP4" s="80"/>
      <c r="LTQ4" s="79"/>
      <c r="LTR4" s="80"/>
      <c r="LTS4" s="80"/>
      <c r="LTT4" s="80"/>
      <c r="LTU4" s="79"/>
      <c r="LTV4" s="80"/>
      <c r="LTW4" s="80"/>
      <c r="LTX4" s="80"/>
      <c r="LTY4" s="79"/>
      <c r="LTZ4" s="80"/>
      <c r="LUA4" s="80"/>
      <c r="LUB4" s="80"/>
      <c r="LUC4" s="79"/>
      <c r="LUD4" s="80"/>
      <c r="LUE4" s="80"/>
      <c r="LUF4" s="80"/>
      <c r="LUG4" s="79"/>
      <c r="LUH4" s="80"/>
      <c r="LUI4" s="80"/>
      <c r="LUJ4" s="80"/>
      <c r="LUK4" s="79"/>
      <c r="LUL4" s="80"/>
      <c r="LUM4" s="80"/>
      <c r="LUN4" s="80"/>
      <c r="LUO4" s="79"/>
      <c r="LUP4" s="80"/>
      <c r="LUQ4" s="80"/>
      <c r="LUR4" s="80"/>
      <c r="LUS4" s="79"/>
      <c r="LUT4" s="80"/>
      <c r="LUU4" s="80"/>
      <c r="LUV4" s="80"/>
      <c r="LUW4" s="79"/>
      <c r="LUX4" s="80"/>
      <c r="LUY4" s="80"/>
      <c r="LUZ4" s="80"/>
      <c r="LVA4" s="79"/>
      <c r="LVB4" s="80"/>
      <c r="LVC4" s="80"/>
      <c r="LVD4" s="80"/>
      <c r="LVE4" s="79"/>
      <c r="LVF4" s="80"/>
      <c r="LVG4" s="80"/>
      <c r="LVH4" s="80"/>
      <c r="LVI4" s="79"/>
      <c r="LVJ4" s="80"/>
      <c r="LVK4" s="80"/>
      <c r="LVL4" s="80"/>
      <c r="LVM4" s="79"/>
      <c r="LVN4" s="80"/>
      <c r="LVO4" s="80"/>
      <c r="LVP4" s="80"/>
      <c r="LVQ4" s="79"/>
      <c r="LVR4" s="80"/>
      <c r="LVS4" s="80"/>
      <c r="LVT4" s="80"/>
      <c r="LVU4" s="79"/>
      <c r="LVV4" s="80"/>
      <c r="LVW4" s="80"/>
      <c r="LVX4" s="80"/>
      <c r="LVY4" s="79"/>
      <c r="LVZ4" s="80"/>
      <c r="LWA4" s="80"/>
      <c r="LWB4" s="80"/>
      <c r="LWC4" s="79"/>
      <c r="LWD4" s="80"/>
      <c r="LWE4" s="80"/>
      <c r="LWF4" s="80"/>
      <c r="LWG4" s="79"/>
      <c r="LWH4" s="80"/>
      <c r="LWI4" s="80"/>
      <c r="LWJ4" s="80"/>
      <c r="LWK4" s="79"/>
      <c r="LWL4" s="80"/>
      <c r="LWM4" s="80"/>
      <c r="LWN4" s="80"/>
      <c r="LWO4" s="79"/>
      <c r="LWP4" s="80"/>
      <c r="LWQ4" s="80"/>
      <c r="LWR4" s="80"/>
      <c r="LWS4" s="79"/>
      <c r="LWT4" s="80"/>
      <c r="LWU4" s="80"/>
      <c r="LWV4" s="80"/>
      <c r="LWW4" s="79"/>
      <c r="LWX4" s="80"/>
      <c r="LWY4" s="80"/>
      <c r="LWZ4" s="80"/>
      <c r="LXA4" s="79"/>
      <c r="LXB4" s="80"/>
      <c r="LXC4" s="80"/>
      <c r="LXD4" s="80"/>
      <c r="LXE4" s="79"/>
      <c r="LXF4" s="80"/>
      <c r="LXG4" s="80"/>
      <c r="LXH4" s="80"/>
      <c r="LXI4" s="79"/>
      <c r="LXJ4" s="80"/>
      <c r="LXK4" s="80"/>
      <c r="LXL4" s="80"/>
      <c r="LXM4" s="79"/>
      <c r="LXN4" s="80"/>
      <c r="LXO4" s="80"/>
      <c r="LXP4" s="80"/>
      <c r="LXQ4" s="79"/>
      <c r="LXR4" s="80"/>
      <c r="LXS4" s="80"/>
      <c r="LXT4" s="80"/>
      <c r="LXU4" s="79"/>
      <c r="LXV4" s="80"/>
      <c r="LXW4" s="80"/>
      <c r="LXX4" s="80"/>
      <c r="LXY4" s="79"/>
      <c r="LXZ4" s="80"/>
      <c r="LYA4" s="80"/>
      <c r="LYB4" s="80"/>
      <c r="LYC4" s="79"/>
      <c r="LYD4" s="80"/>
      <c r="LYE4" s="80"/>
      <c r="LYF4" s="80"/>
      <c r="LYG4" s="79"/>
      <c r="LYH4" s="80"/>
      <c r="LYI4" s="80"/>
      <c r="LYJ4" s="80"/>
      <c r="LYK4" s="79"/>
      <c r="LYL4" s="80"/>
      <c r="LYM4" s="80"/>
      <c r="LYN4" s="80"/>
      <c r="LYO4" s="79"/>
      <c r="LYP4" s="80"/>
      <c r="LYQ4" s="80"/>
      <c r="LYR4" s="80"/>
      <c r="LYS4" s="79"/>
      <c r="LYT4" s="80"/>
      <c r="LYU4" s="80"/>
      <c r="LYV4" s="80"/>
      <c r="LYW4" s="79"/>
      <c r="LYX4" s="80"/>
      <c r="LYY4" s="80"/>
      <c r="LYZ4" s="80"/>
      <c r="LZA4" s="79"/>
      <c r="LZB4" s="80"/>
      <c r="LZC4" s="80"/>
      <c r="LZD4" s="80"/>
      <c r="LZE4" s="79"/>
      <c r="LZF4" s="80"/>
      <c r="LZG4" s="80"/>
      <c r="LZH4" s="80"/>
      <c r="LZI4" s="79"/>
      <c r="LZJ4" s="80"/>
      <c r="LZK4" s="80"/>
      <c r="LZL4" s="80"/>
      <c r="LZM4" s="79"/>
      <c r="LZN4" s="80"/>
      <c r="LZO4" s="80"/>
      <c r="LZP4" s="80"/>
      <c r="LZQ4" s="79"/>
      <c r="LZR4" s="80"/>
      <c r="LZS4" s="80"/>
      <c r="LZT4" s="80"/>
      <c r="LZU4" s="79"/>
      <c r="LZV4" s="80"/>
      <c r="LZW4" s="80"/>
      <c r="LZX4" s="80"/>
      <c r="LZY4" s="79"/>
      <c r="LZZ4" s="80"/>
      <c r="MAA4" s="80"/>
      <c r="MAB4" s="80"/>
      <c r="MAC4" s="79"/>
      <c r="MAD4" s="80"/>
      <c r="MAE4" s="80"/>
      <c r="MAF4" s="80"/>
      <c r="MAG4" s="79"/>
      <c r="MAH4" s="80"/>
      <c r="MAI4" s="80"/>
      <c r="MAJ4" s="80"/>
      <c r="MAK4" s="79"/>
      <c r="MAL4" s="80"/>
      <c r="MAM4" s="80"/>
      <c r="MAN4" s="80"/>
      <c r="MAO4" s="79"/>
      <c r="MAP4" s="80"/>
      <c r="MAQ4" s="80"/>
      <c r="MAR4" s="80"/>
      <c r="MAS4" s="79"/>
      <c r="MAT4" s="80"/>
      <c r="MAU4" s="80"/>
      <c r="MAV4" s="80"/>
      <c r="MAW4" s="79"/>
      <c r="MAX4" s="80"/>
      <c r="MAY4" s="80"/>
      <c r="MAZ4" s="80"/>
      <c r="MBA4" s="79"/>
      <c r="MBB4" s="80"/>
      <c r="MBC4" s="80"/>
      <c r="MBD4" s="80"/>
      <c r="MBE4" s="79"/>
      <c r="MBF4" s="80"/>
      <c r="MBG4" s="80"/>
      <c r="MBH4" s="80"/>
      <c r="MBI4" s="79"/>
      <c r="MBJ4" s="80"/>
      <c r="MBK4" s="80"/>
      <c r="MBL4" s="80"/>
      <c r="MBM4" s="79"/>
      <c r="MBN4" s="80"/>
      <c r="MBO4" s="80"/>
      <c r="MBP4" s="80"/>
      <c r="MBQ4" s="79"/>
      <c r="MBR4" s="80"/>
      <c r="MBS4" s="80"/>
      <c r="MBT4" s="80"/>
      <c r="MBU4" s="79"/>
      <c r="MBV4" s="80"/>
      <c r="MBW4" s="80"/>
      <c r="MBX4" s="80"/>
      <c r="MBY4" s="79"/>
      <c r="MBZ4" s="80"/>
      <c r="MCA4" s="80"/>
      <c r="MCB4" s="80"/>
      <c r="MCC4" s="79"/>
      <c r="MCD4" s="80"/>
      <c r="MCE4" s="80"/>
      <c r="MCF4" s="80"/>
      <c r="MCG4" s="79"/>
      <c r="MCH4" s="80"/>
      <c r="MCI4" s="80"/>
      <c r="MCJ4" s="80"/>
      <c r="MCK4" s="79"/>
      <c r="MCL4" s="80"/>
      <c r="MCM4" s="80"/>
      <c r="MCN4" s="80"/>
      <c r="MCO4" s="79"/>
      <c r="MCP4" s="80"/>
      <c r="MCQ4" s="80"/>
      <c r="MCR4" s="80"/>
      <c r="MCS4" s="79"/>
      <c r="MCT4" s="80"/>
      <c r="MCU4" s="80"/>
      <c r="MCV4" s="80"/>
      <c r="MCW4" s="79"/>
      <c r="MCX4" s="80"/>
      <c r="MCY4" s="80"/>
      <c r="MCZ4" s="80"/>
      <c r="MDA4" s="79"/>
      <c r="MDB4" s="80"/>
      <c r="MDC4" s="80"/>
      <c r="MDD4" s="80"/>
      <c r="MDE4" s="79"/>
      <c r="MDF4" s="80"/>
      <c r="MDG4" s="80"/>
      <c r="MDH4" s="80"/>
      <c r="MDI4" s="79"/>
      <c r="MDJ4" s="80"/>
      <c r="MDK4" s="80"/>
      <c r="MDL4" s="80"/>
      <c r="MDM4" s="79"/>
      <c r="MDN4" s="80"/>
      <c r="MDO4" s="80"/>
      <c r="MDP4" s="80"/>
      <c r="MDQ4" s="79"/>
      <c r="MDR4" s="80"/>
      <c r="MDS4" s="80"/>
      <c r="MDT4" s="80"/>
      <c r="MDU4" s="79"/>
      <c r="MDV4" s="80"/>
      <c r="MDW4" s="80"/>
      <c r="MDX4" s="80"/>
      <c r="MDY4" s="79"/>
      <c r="MDZ4" s="80"/>
      <c r="MEA4" s="80"/>
      <c r="MEB4" s="80"/>
      <c r="MEC4" s="79"/>
      <c r="MED4" s="80"/>
      <c r="MEE4" s="80"/>
      <c r="MEF4" s="80"/>
      <c r="MEG4" s="79"/>
      <c r="MEH4" s="80"/>
      <c r="MEI4" s="80"/>
      <c r="MEJ4" s="80"/>
      <c r="MEK4" s="79"/>
      <c r="MEL4" s="80"/>
      <c r="MEM4" s="80"/>
      <c r="MEN4" s="80"/>
      <c r="MEO4" s="79"/>
      <c r="MEP4" s="80"/>
      <c r="MEQ4" s="80"/>
      <c r="MER4" s="80"/>
      <c r="MES4" s="79"/>
      <c r="MET4" s="80"/>
      <c r="MEU4" s="80"/>
      <c r="MEV4" s="80"/>
      <c r="MEW4" s="79"/>
      <c r="MEX4" s="80"/>
      <c r="MEY4" s="80"/>
      <c r="MEZ4" s="80"/>
      <c r="MFA4" s="79"/>
      <c r="MFB4" s="80"/>
      <c r="MFC4" s="80"/>
      <c r="MFD4" s="80"/>
      <c r="MFE4" s="79"/>
      <c r="MFF4" s="80"/>
      <c r="MFG4" s="80"/>
      <c r="MFH4" s="80"/>
      <c r="MFI4" s="79"/>
      <c r="MFJ4" s="80"/>
      <c r="MFK4" s="80"/>
      <c r="MFL4" s="80"/>
      <c r="MFM4" s="79"/>
      <c r="MFN4" s="80"/>
      <c r="MFO4" s="80"/>
      <c r="MFP4" s="80"/>
      <c r="MFQ4" s="79"/>
      <c r="MFR4" s="80"/>
      <c r="MFS4" s="80"/>
      <c r="MFT4" s="80"/>
      <c r="MFU4" s="79"/>
      <c r="MFV4" s="80"/>
      <c r="MFW4" s="80"/>
      <c r="MFX4" s="80"/>
      <c r="MFY4" s="79"/>
      <c r="MFZ4" s="80"/>
      <c r="MGA4" s="80"/>
      <c r="MGB4" s="80"/>
      <c r="MGC4" s="79"/>
      <c r="MGD4" s="80"/>
      <c r="MGE4" s="80"/>
      <c r="MGF4" s="80"/>
      <c r="MGG4" s="79"/>
      <c r="MGH4" s="80"/>
      <c r="MGI4" s="80"/>
      <c r="MGJ4" s="80"/>
      <c r="MGK4" s="79"/>
      <c r="MGL4" s="80"/>
      <c r="MGM4" s="80"/>
      <c r="MGN4" s="80"/>
      <c r="MGO4" s="79"/>
      <c r="MGP4" s="80"/>
      <c r="MGQ4" s="80"/>
      <c r="MGR4" s="80"/>
      <c r="MGS4" s="79"/>
      <c r="MGT4" s="80"/>
      <c r="MGU4" s="80"/>
      <c r="MGV4" s="80"/>
      <c r="MGW4" s="79"/>
      <c r="MGX4" s="80"/>
      <c r="MGY4" s="80"/>
      <c r="MGZ4" s="80"/>
      <c r="MHA4" s="79"/>
      <c r="MHB4" s="80"/>
      <c r="MHC4" s="80"/>
      <c r="MHD4" s="80"/>
      <c r="MHE4" s="79"/>
      <c r="MHF4" s="80"/>
      <c r="MHG4" s="80"/>
      <c r="MHH4" s="80"/>
      <c r="MHI4" s="79"/>
      <c r="MHJ4" s="80"/>
      <c r="MHK4" s="80"/>
      <c r="MHL4" s="80"/>
      <c r="MHM4" s="79"/>
      <c r="MHN4" s="80"/>
      <c r="MHO4" s="80"/>
      <c r="MHP4" s="80"/>
      <c r="MHQ4" s="79"/>
      <c r="MHR4" s="80"/>
      <c r="MHS4" s="80"/>
      <c r="MHT4" s="80"/>
      <c r="MHU4" s="79"/>
      <c r="MHV4" s="80"/>
      <c r="MHW4" s="80"/>
      <c r="MHX4" s="80"/>
      <c r="MHY4" s="79"/>
      <c r="MHZ4" s="80"/>
      <c r="MIA4" s="80"/>
      <c r="MIB4" s="80"/>
      <c r="MIC4" s="79"/>
      <c r="MID4" s="80"/>
      <c r="MIE4" s="80"/>
      <c r="MIF4" s="80"/>
      <c r="MIG4" s="79"/>
      <c r="MIH4" s="80"/>
      <c r="MII4" s="80"/>
      <c r="MIJ4" s="80"/>
      <c r="MIK4" s="79"/>
      <c r="MIL4" s="80"/>
      <c r="MIM4" s="80"/>
      <c r="MIN4" s="80"/>
      <c r="MIO4" s="79"/>
      <c r="MIP4" s="80"/>
      <c r="MIQ4" s="80"/>
      <c r="MIR4" s="80"/>
      <c r="MIS4" s="79"/>
      <c r="MIT4" s="80"/>
      <c r="MIU4" s="80"/>
      <c r="MIV4" s="80"/>
      <c r="MIW4" s="79"/>
      <c r="MIX4" s="80"/>
      <c r="MIY4" s="80"/>
      <c r="MIZ4" s="80"/>
      <c r="MJA4" s="79"/>
      <c r="MJB4" s="80"/>
      <c r="MJC4" s="80"/>
      <c r="MJD4" s="80"/>
      <c r="MJE4" s="79"/>
      <c r="MJF4" s="80"/>
      <c r="MJG4" s="80"/>
      <c r="MJH4" s="80"/>
      <c r="MJI4" s="79"/>
      <c r="MJJ4" s="80"/>
      <c r="MJK4" s="80"/>
      <c r="MJL4" s="80"/>
      <c r="MJM4" s="79"/>
      <c r="MJN4" s="80"/>
      <c r="MJO4" s="80"/>
      <c r="MJP4" s="80"/>
      <c r="MJQ4" s="79"/>
      <c r="MJR4" s="80"/>
      <c r="MJS4" s="80"/>
      <c r="MJT4" s="80"/>
      <c r="MJU4" s="79"/>
      <c r="MJV4" s="80"/>
      <c r="MJW4" s="80"/>
      <c r="MJX4" s="80"/>
      <c r="MJY4" s="79"/>
      <c r="MJZ4" s="80"/>
      <c r="MKA4" s="80"/>
      <c r="MKB4" s="80"/>
      <c r="MKC4" s="79"/>
      <c r="MKD4" s="80"/>
      <c r="MKE4" s="80"/>
      <c r="MKF4" s="80"/>
      <c r="MKG4" s="79"/>
      <c r="MKH4" s="80"/>
      <c r="MKI4" s="80"/>
      <c r="MKJ4" s="80"/>
      <c r="MKK4" s="79"/>
      <c r="MKL4" s="80"/>
      <c r="MKM4" s="80"/>
      <c r="MKN4" s="80"/>
      <c r="MKO4" s="79"/>
      <c r="MKP4" s="80"/>
      <c r="MKQ4" s="80"/>
      <c r="MKR4" s="80"/>
      <c r="MKS4" s="79"/>
      <c r="MKT4" s="80"/>
      <c r="MKU4" s="80"/>
      <c r="MKV4" s="80"/>
      <c r="MKW4" s="79"/>
      <c r="MKX4" s="80"/>
      <c r="MKY4" s="80"/>
      <c r="MKZ4" s="80"/>
      <c r="MLA4" s="79"/>
      <c r="MLB4" s="80"/>
      <c r="MLC4" s="80"/>
      <c r="MLD4" s="80"/>
      <c r="MLE4" s="79"/>
      <c r="MLF4" s="80"/>
      <c r="MLG4" s="80"/>
      <c r="MLH4" s="80"/>
      <c r="MLI4" s="79"/>
      <c r="MLJ4" s="80"/>
      <c r="MLK4" s="80"/>
      <c r="MLL4" s="80"/>
      <c r="MLM4" s="79"/>
      <c r="MLN4" s="80"/>
      <c r="MLO4" s="80"/>
      <c r="MLP4" s="80"/>
      <c r="MLQ4" s="79"/>
      <c r="MLR4" s="80"/>
      <c r="MLS4" s="80"/>
      <c r="MLT4" s="80"/>
      <c r="MLU4" s="79"/>
      <c r="MLV4" s="80"/>
      <c r="MLW4" s="80"/>
      <c r="MLX4" s="80"/>
      <c r="MLY4" s="79"/>
      <c r="MLZ4" s="80"/>
      <c r="MMA4" s="80"/>
      <c r="MMB4" s="80"/>
      <c r="MMC4" s="79"/>
      <c r="MMD4" s="80"/>
      <c r="MME4" s="80"/>
      <c r="MMF4" s="80"/>
      <c r="MMG4" s="79"/>
      <c r="MMH4" s="80"/>
      <c r="MMI4" s="80"/>
      <c r="MMJ4" s="80"/>
      <c r="MMK4" s="79"/>
      <c r="MML4" s="80"/>
      <c r="MMM4" s="80"/>
      <c r="MMN4" s="80"/>
      <c r="MMO4" s="79"/>
      <c r="MMP4" s="80"/>
      <c r="MMQ4" s="80"/>
      <c r="MMR4" s="80"/>
      <c r="MMS4" s="79"/>
      <c r="MMT4" s="80"/>
      <c r="MMU4" s="80"/>
      <c r="MMV4" s="80"/>
      <c r="MMW4" s="79"/>
      <c r="MMX4" s="80"/>
      <c r="MMY4" s="80"/>
      <c r="MMZ4" s="80"/>
      <c r="MNA4" s="79"/>
      <c r="MNB4" s="80"/>
      <c r="MNC4" s="80"/>
      <c r="MND4" s="80"/>
      <c r="MNE4" s="79"/>
      <c r="MNF4" s="80"/>
      <c r="MNG4" s="80"/>
      <c r="MNH4" s="80"/>
      <c r="MNI4" s="79"/>
      <c r="MNJ4" s="80"/>
      <c r="MNK4" s="80"/>
      <c r="MNL4" s="80"/>
      <c r="MNM4" s="79"/>
      <c r="MNN4" s="80"/>
      <c r="MNO4" s="80"/>
      <c r="MNP4" s="80"/>
      <c r="MNQ4" s="79"/>
      <c r="MNR4" s="80"/>
      <c r="MNS4" s="80"/>
      <c r="MNT4" s="80"/>
      <c r="MNU4" s="79"/>
      <c r="MNV4" s="80"/>
      <c r="MNW4" s="80"/>
      <c r="MNX4" s="80"/>
      <c r="MNY4" s="79"/>
      <c r="MNZ4" s="80"/>
      <c r="MOA4" s="80"/>
      <c r="MOB4" s="80"/>
      <c r="MOC4" s="79"/>
      <c r="MOD4" s="80"/>
      <c r="MOE4" s="80"/>
      <c r="MOF4" s="80"/>
      <c r="MOG4" s="79"/>
      <c r="MOH4" s="80"/>
      <c r="MOI4" s="80"/>
      <c r="MOJ4" s="80"/>
      <c r="MOK4" s="79"/>
      <c r="MOL4" s="80"/>
      <c r="MOM4" s="80"/>
      <c r="MON4" s="80"/>
      <c r="MOO4" s="79"/>
      <c r="MOP4" s="80"/>
      <c r="MOQ4" s="80"/>
      <c r="MOR4" s="80"/>
      <c r="MOS4" s="79"/>
      <c r="MOT4" s="80"/>
      <c r="MOU4" s="80"/>
      <c r="MOV4" s="80"/>
      <c r="MOW4" s="79"/>
      <c r="MOX4" s="80"/>
      <c r="MOY4" s="80"/>
      <c r="MOZ4" s="80"/>
      <c r="MPA4" s="79"/>
      <c r="MPB4" s="80"/>
      <c r="MPC4" s="80"/>
      <c r="MPD4" s="80"/>
      <c r="MPE4" s="79"/>
      <c r="MPF4" s="80"/>
      <c r="MPG4" s="80"/>
      <c r="MPH4" s="80"/>
      <c r="MPI4" s="79"/>
      <c r="MPJ4" s="80"/>
      <c r="MPK4" s="80"/>
      <c r="MPL4" s="80"/>
      <c r="MPM4" s="79"/>
      <c r="MPN4" s="80"/>
      <c r="MPO4" s="80"/>
      <c r="MPP4" s="80"/>
      <c r="MPQ4" s="79"/>
      <c r="MPR4" s="80"/>
      <c r="MPS4" s="80"/>
      <c r="MPT4" s="80"/>
      <c r="MPU4" s="79"/>
      <c r="MPV4" s="80"/>
      <c r="MPW4" s="80"/>
      <c r="MPX4" s="80"/>
      <c r="MPY4" s="79"/>
      <c r="MPZ4" s="80"/>
      <c r="MQA4" s="80"/>
      <c r="MQB4" s="80"/>
      <c r="MQC4" s="79"/>
      <c r="MQD4" s="80"/>
      <c r="MQE4" s="80"/>
      <c r="MQF4" s="80"/>
      <c r="MQG4" s="79"/>
      <c r="MQH4" s="80"/>
      <c r="MQI4" s="80"/>
      <c r="MQJ4" s="80"/>
      <c r="MQK4" s="79"/>
      <c r="MQL4" s="80"/>
      <c r="MQM4" s="80"/>
      <c r="MQN4" s="80"/>
      <c r="MQO4" s="79"/>
      <c r="MQP4" s="80"/>
      <c r="MQQ4" s="80"/>
      <c r="MQR4" s="80"/>
      <c r="MQS4" s="79"/>
      <c r="MQT4" s="80"/>
      <c r="MQU4" s="80"/>
      <c r="MQV4" s="80"/>
      <c r="MQW4" s="79"/>
      <c r="MQX4" s="80"/>
      <c r="MQY4" s="80"/>
      <c r="MQZ4" s="80"/>
      <c r="MRA4" s="79"/>
      <c r="MRB4" s="80"/>
      <c r="MRC4" s="80"/>
      <c r="MRD4" s="80"/>
      <c r="MRE4" s="79"/>
      <c r="MRF4" s="80"/>
      <c r="MRG4" s="80"/>
      <c r="MRH4" s="80"/>
      <c r="MRI4" s="79"/>
      <c r="MRJ4" s="80"/>
      <c r="MRK4" s="80"/>
      <c r="MRL4" s="80"/>
      <c r="MRM4" s="79"/>
      <c r="MRN4" s="80"/>
      <c r="MRO4" s="80"/>
      <c r="MRP4" s="80"/>
      <c r="MRQ4" s="79"/>
      <c r="MRR4" s="80"/>
      <c r="MRS4" s="80"/>
      <c r="MRT4" s="80"/>
      <c r="MRU4" s="79"/>
      <c r="MRV4" s="80"/>
      <c r="MRW4" s="80"/>
      <c r="MRX4" s="80"/>
      <c r="MRY4" s="79"/>
      <c r="MRZ4" s="80"/>
      <c r="MSA4" s="80"/>
      <c r="MSB4" s="80"/>
      <c r="MSC4" s="79"/>
      <c r="MSD4" s="80"/>
      <c r="MSE4" s="80"/>
      <c r="MSF4" s="80"/>
      <c r="MSG4" s="79"/>
      <c r="MSH4" s="80"/>
      <c r="MSI4" s="80"/>
      <c r="MSJ4" s="80"/>
      <c r="MSK4" s="79"/>
      <c r="MSL4" s="80"/>
      <c r="MSM4" s="80"/>
      <c r="MSN4" s="80"/>
      <c r="MSO4" s="79"/>
      <c r="MSP4" s="80"/>
      <c r="MSQ4" s="80"/>
      <c r="MSR4" s="80"/>
      <c r="MSS4" s="79"/>
      <c r="MST4" s="80"/>
      <c r="MSU4" s="80"/>
      <c r="MSV4" s="80"/>
      <c r="MSW4" s="79"/>
      <c r="MSX4" s="80"/>
      <c r="MSY4" s="80"/>
      <c r="MSZ4" s="80"/>
      <c r="MTA4" s="79"/>
      <c r="MTB4" s="80"/>
      <c r="MTC4" s="80"/>
      <c r="MTD4" s="80"/>
      <c r="MTE4" s="79"/>
      <c r="MTF4" s="80"/>
      <c r="MTG4" s="80"/>
      <c r="MTH4" s="80"/>
      <c r="MTI4" s="79"/>
      <c r="MTJ4" s="80"/>
      <c r="MTK4" s="80"/>
      <c r="MTL4" s="80"/>
      <c r="MTM4" s="79"/>
      <c r="MTN4" s="80"/>
      <c r="MTO4" s="80"/>
      <c r="MTP4" s="80"/>
      <c r="MTQ4" s="79"/>
      <c r="MTR4" s="80"/>
      <c r="MTS4" s="80"/>
      <c r="MTT4" s="80"/>
      <c r="MTU4" s="79"/>
      <c r="MTV4" s="80"/>
      <c r="MTW4" s="80"/>
      <c r="MTX4" s="80"/>
      <c r="MTY4" s="79"/>
      <c r="MTZ4" s="80"/>
      <c r="MUA4" s="80"/>
      <c r="MUB4" s="80"/>
      <c r="MUC4" s="79"/>
      <c r="MUD4" s="80"/>
      <c r="MUE4" s="80"/>
      <c r="MUF4" s="80"/>
      <c r="MUG4" s="79"/>
      <c r="MUH4" s="80"/>
      <c r="MUI4" s="80"/>
      <c r="MUJ4" s="80"/>
      <c r="MUK4" s="79"/>
      <c r="MUL4" s="80"/>
      <c r="MUM4" s="80"/>
      <c r="MUN4" s="80"/>
      <c r="MUO4" s="79"/>
      <c r="MUP4" s="80"/>
      <c r="MUQ4" s="80"/>
      <c r="MUR4" s="80"/>
      <c r="MUS4" s="79"/>
      <c r="MUT4" s="80"/>
      <c r="MUU4" s="80"/>
      <c r="MUV4" s="80"/>
      <c r="MUW4" s="79"/>
      <c r="MUX4" s="80"/>
      <c r="MUY4" s="80"/>
      <c r="MUZ4" s="80"/>
      <c r="MVA4" s="79"/>
      <c r="MVB4" s="80"/>
      <c r="MVC4" s="80"/>
      <c r="MVD4" s="80"/>
      <c r="MVE4" s="79"/>
      <c r="MVF4" s="80"/>
      <c r="MVG4" s="80"/>
      <c r="MVH4" s="80"/>
      <c r="MVI4" s="79"/>
      <c r="MVJ4" s="80"/>
      <c r="MVK4" s="80"/>
      <c r="MVL4" s="80"/>
      <c r="MVM4" s="79"/>
      <c r="MVN4" s="80"/>
      <c r="MVO4" s="80"/>
      <c r="MVP4" s="80"/>
      <c r="MVQ4" s="79"/>
      <c r="MVR4" s="80"/>
      <c r="MVS4" s="80"/>
      <c r="MVT4" s="80"/>
      <c r="MVU4" s="79"/>
      <c r="MVV4" s="80"/>
      <c r="MVW4" s="80"/>
      <c r="MVX4" s="80"/>
      <c r="MVY4" s="79"/>
      <c r="MVZ4" s="80"/>
      <c r="MWA4" s="80"/>
      <c r="MWB4" s="80"/>
      <c r="MWC4" s="79"/>
      <c r="MWD4" s="80"/>
      <c r="MWE4" s="80"/>
      <c r="MWF4" s="80"/>
      <c r="MWG4" s="79"/>
      <c r="MWH4" s="80"/>
      <c r="MWI4" s="80"/>
      <c r="MWJ4" s="80"/>
      <c r="MWK4" s="79"/>
      <c r="MWL4" s="80"/>
      <c r="MWM4" s="80"/>
      <c r="MWN4" s="80"/>
      <c r="MWO4" s="79"/>
      <c r="MWP4" s="80"/>
      <c r="MWQ4" s="80"/>
      <c r="MWR4" s="80"/>
      <c r="MWS4" s="79"/>
      <c r="MWT4" s="80"/>
      <c r="MWU4" s="80"/>
      <c r="MWV4" s="80"/>
      <c r="MWW4" s="79"/>
      <c r="MWX4" s="80"/>
      <c r="MWY4" s="80"/>
      <c r="MWZ4" s="80"/>
      <c r="MXA4" s="79"/>
      <c r="MXB4" s="80"/>
      <c r="MXC4" s="80"/>
      <c r="MXD4" s="80"/>
      <c r="MXE4" s="79"/>
      <c r="MXF4" s="80"/>
      <c r="MXG4" s="80"/>
      <c r="MXH4" s="80"/>
      <c r="MXI4" s="79"/>
      <c r="MXJ4" s="80"/>
      <c r="MXK4" s="80"/>
      <c r="MXL4" s="80"/>
      <c r="MXM4" s="79"/>
      <c r="MXN4" s="80"/>
      <c r="MXO4" s="80"/>
      <c r="MXP4" s="80"/>
      <c r="MXQ4" s="79"/>
      <c r="MXR4" s="80"/>
      <c r="MXS4" s="80"/>
      <c r="MXT4" s="80"/>
      <c r="MXU4" s="79"/>
      <c r="MXV4" s="80"/>
      <c r="MXW4" s="80"/>
      <c r="MXX4" s="80"/>
      <c r="MXY4" s="79"/>
      <c r="MXZ4" s="80"/>
      <c r="MYA4" s="80"/>
      <c r="MYB4" s="80"/>
      <c r="MYC4" s="79"/>
      <c r="MYD4" s="80"/>
      <c r="MYE4" s="80"/>
      <c r="MYF4" s="80"/>
      <c r="MYG4" s="79"/>
      <c r="MYH4" s="80"/>
      <c r="MYI4" s="80"/>
      <c r="MYJ4" s="80"/>
      <c r="MYK4" s="79"/>
      <c r="MYL4" s="80"/>
      <c r="MYM4" s="80"/>
      <c r="MYN4" s="80"/>
      <c r="MYO4" s="79"/>
      <c r="MYP4" s="80"/>
      <c r="MYQ4" s="80"/>
      <c r="MYR4" s="80"/>
      <c r="MYS4" s="79"/>
      <c r="MYT4" s="80"/>
      <c r="MYU4" s="80"/>
      <c r="MYV4" s="80"/>
      <c r="MYW4" s="79"/>
      <c r="MYX4" s="80"/>
      <c r="MYY4" s="80"/>
      <c r="MYZ4" s="80"/>
      <c r="MZA4" s="79"/>
      <c r="MZB4" s="80"/>
      <c r="MZC4" s="80"/>
      <c r="MZD4" s="80"/>
      <c r="MZE4" s="79"/>
      <c r="MZF4" s="80"/>
      <c r="MZG4" s="80"/>
      <c r="MZH4" s="80"/>
      <c r="MZI4" s="79"/>
      <c r="MZJ4" s="80"/>
      <c r="MZK4" s="80"/>
      <c r="MZL4" s="80"/>
      <c r="MZM4" s="79"/>
      <c r="MZN4" s="80"/>
      <c r="MZO4" s="80"/>
      <c r="MZP4" s="80"/>
      <c r="MZQ4" s="79"/>
      <c r="MZR4" s="80"/>
      <c r="MZS4" s="80"/>
      <c r="MZT4" s="80"/>
      <c r="MZU4" s="79"/>
      <c r="MZV4" s="80"/>
      <c r="MZW4" s="80"/>
      <c r="MZX4" s="80"/>
      <c r="MZY4" s="79"/>
      <c r="MZZ4" s="80"/>
      <c r="NAA4" s="80"/>
      <c r="NAB4" s="80"/>
      <c r="NAC4" s="79"/>
      <c r="NAD4" s="80"/>
      <c r="NAE4" s="80"/>
      <c r="NAF4" s="80"/>
      <c r="NAG4" s="79"/>
      <c r="NAH4" s="80"/>
      <c r="NAI4" s="80"/>
      <c r="NAJ4" s="80"/>
      <c r="NAK4" s="79"/>
      <c r="NAL4" s="80"/>
      <c r="NAM4" s="80"/>
      <c r="NAN4" s="80"/>
      <c r="NAO4" s="79"/>
      <c r="NAP4" s="80"/>
      <c r="NAQ4" s="80"/>
      <c r="NAR4" s="80"/>
      <c r="NAS4" s="79"/>
      <c r="NAT4" s="80"/>
      <c r="NAU4" s="80"/>
      <c r="NAV4" s="80"/>
      <c r="NAW4" s="79"/>
      <c r="NAX4" s="80"/>
      <c r="NAY4" s="80"/>
      <c r="NAZ4" s="80"/>
      <c r="NBA4" s="79"/>
      <c r="NBB4" s="80"/>
      <c r="NBC4" s="80"/>
      <c r="NBD4" s="80"/>
      <c r="NBE4" s="79"/>
      <c r="NBF4" s="80"/>
      <c r="NBG4" s="80"/>
      <c r="NBH4" s="80"/>
      <c r="NBI4" s="79"/>
      <c r="NBJ4" s="80"/>
      <c r="NBK4" s="80"/>
      <c r="NBL4" s="80"/>
      <c r="NBM4" s="79"/>
      <c r="NBN4" s="80"/>
      <c r="NBO4" s="80"/>
      <c r="NBP4" s="80"/>
      <c r="NBQ4" s="79"/>
      <c r="NBR4" s="80"/>
      <c r="NBS4" s="80"/>
      <c r="NBT4" s="80"/>
      <c r="NBU4" s="79"/>
      <c r="NBV4" s="80"/>
      <c r="NBW4" s="80"/>
      <c r="NBX4" s="80"/>
      <c r="NBY4" s="79"/>
      <c r="NBZ4" s="80"/>
      <c r="NCA4" s="80"/>
      <c r="NCB4" s="80"/>
      <c r="NCC4" s="79"/>
      <c r="NCD4" s="80"/>
      <c r="NCE4" s="80"/>
      <c r="NCF4" s="80"/>
      <c r="NCG4" s="79"/>
      <c r="NCH4" s="80"/>
      <c r="NCI4" s="80"/>
      <c r="NCJ4" s="80"/>
      <c r="NCK4" s="79"/>
      <c r="NCL4" s="80"/>
      <c r="NCM4" s="80"/>
      <c r="NCN4" s="80"/>
      <c r="NCO4" s="79"/>
      <c r="NCP4" s="80"/>
      <c r="NCQ4" s="80"/>
      <c r="NCR4" s="80"/>
      <c r="NCS4" s="79"/>
      <c r="NCT4" s="80"/>
      <c r="NCU4" s="80"/>
      <c r="NCV4" s="80"/>
      <c r="NCW4" s="79"/>
      <c r="NCX4" s="80"/>
      <c r="NCY4" s="80"/>
      <c r="NCZ4" s="80"/>
      <c r="NDA4" s="79"/>
      <c r="NDB4" s="80"/>
      <c r="NDC4" s="80"/>
      <c r="NDD4" s="80"/>
      <c r="NDE4" s="79"/>
      <c r="NDF4" s="80"/>
      <c r="NDG4" s="80"/>
      <c r="NDH4" s="80"/>
      <c r="NDI4" s="79"/>
      <c r="NDJ4" s="80"/>
      <c r="NDK4" s="80"/>
      <c r="NDL4" s="80"/>
      <c r="NDM4" s="79"/>
      <c r="NDN4" s="80"/>
      <c r="NDO4" s="80"/>
      <c r="NDP4" s="80"/>
      <c r="NDQ4" s="79"/>
      <c r="NDR4" s="80"/>
      <c r="NDS4" s="80"/>
      <c r="NDT4" s="80"/>
      <c r="NDU4" s="79"/>
      <c r="NDV4" s="80"/>
      <c r="NDW4" s="80"/>
      <c r="NDX4" s="80"/>
      <c r="NDY4" s="79"/>
      <c r="NDZ4" s="80"/>
      <c r="NEA4" s="80"/>
      <c r="NEB4" s="80"/>
      <c r="NEC4" s="79"/>
      <c r="NED4" s="80"/>
      <c r="NEE4" s="80"/>
      <c r="NEF4" s="80"/>
      <c r="NEG4" s="79"/>
      <c r="NEH4" s="80"/>
      <c r="NEI4" s="80"/>
      <c r="NEJ4" s="80"/>
      <c r="NEK4" s="79"/>
      <c r="NEL4" s="80"/>
      <c r="NEM4" s="80"/>
      <c r="NEN4" s="80"/>
      <c r="NEO4" s="79"/>
      <c r="NEP4" s="80"/>
      <c r="NEQ4" s="80"/>
      <c r="NER4" s="80"/>
      <c r="NES4" s="79"/>
      <c r="NET4" s="80"/>
      <c r="NEU4" s="80"/>
      <c r="NEV4" s="80"/>
      <c r="NEW4" s="79"/>
      <c r="NEX4" s="80"/>
      <c r="NEY4" s="80"/>
      <c r="NEZ4" s="80"/>
      <c r="NFA4" s="79"/>
      <c r="NFB4" s="80"/>
      <c r="NFC4" s="80"/>
      <c r="NFD4" s="80"/>
      <c r="NFE4" s="79"/>
      <c r="NFF4" s="80"/>
      <c r="NFG4" s="80"/>
      <c r="NFH4" s="80"/>
      <c r="NFI4" s="79"/>
      <c r="NFJ4" s="80"/>
      <c r="NFK4" s="80"/>
      <c r="NFL4" s="80"/>
      <c r="NFM4" s="79"/>
      <c r="NFN4" s="80"/>
      <c r="NFO4" s="80"/>
      <c r="NFP4" s="80"/>
      <c r="NFQ4" s="79"/>
      <c r="NFR4" s="80"/>
      <c r="NFS4" s="80"/>
      <c r="NFT4" s="80"/>
      <c r="NFU4" s="79"/>
      <c r="NFV4" s="80"/>
      <c r="NFW4" s="80"/>
      <c r="NFX4" s="80"/>
      <c r="NFY4" s="79"/>
      <c r="NFZ4" s="80"/>
      <c r="NGA4" s="80"/>
      <c r="NGB4" s="80"/>
      <c r="NGC4" s="79"/>
      <c r="NGD4" s="80"/>
      <c r="NGE4" s="80"/>
      <c r="NGF4" s="80"/>
      <c r="NGG4" s="79"/>
      <c r="NGH4" s="80"/>
      <c r="NGI4" s="80"/>
      <c r="NGJ4" s="80"/>
      <c r="NGK4" s="79"/>
      <c r="NGL4" s="80"/>
      <c r="NGM4" s="80"/>
      <c r="NGN4" s="80"/>
      <c r="NGO4" s="79"/>
      <c r="NGP4" s="80"/>
      <c r="NGQ4" s="80"/>
      <c r="NGR4" s="80"/>
      <c r="NGS4" s="79"/>
      <c r="NGT4" s="80"/>
      <c r="NGU4" s="80"/>
      <c r="NGV4" s="80"/>
      <c r="NGW4" s="79"/>
      <c r="NGX4" s="80"/>
      <c r="NGY4" s="80"/>
      <c r="NGZ4" s="80"/>
      <c r="NHA4" s="79"/>
      <c r="NHB4" s="80"/>
      <c r="NHC4" s="80"/>
      <c r="NHD4" s="80"/>
      <c r="NHE4" s="79"/>
      <c r="NHF4" s="80"/>
      <c r="NHG4" s="80"/>
      <c r="NHH4" s="80"/>
      <c r="NHI4" s="79"/>
      <c r="NHJ4" s="80"/>
      <c r="NHK4" s="80"/>
      <c r="NHL4" s="80"/>
      <c r="NHM4" s="79"/>
      <c r="NHN4" s="80"/>
      <c r="NHO4" s="80"/>
      <c r="NHP4" s="80"/>
      <c r="NHQ4" s="79"/>
      <c r="NHR4" s="80"/>
      <c r="NHS4" s="80"/>
      <c r="NHT4" s="80"/>
      <c r="NHU4" s="79"/>
      <c r="NHV4" s="80"/>
      <c r="NHW4" s="80"/>
      <c r="NHX4" s="80"/>
      <c r="NHY4" s="79"/>
      <c r="NHZ4" s="80"/>
      <c r="NIA4" s="80"/>
      <c r="NIB4" s="80"/>
      <c r="NIC4" s="79"/>
      <c r="NID4" s="80"/>
      <c r="NIE4" s="80"/>
      <c r="NIF4" s="80"/>
      <c r="NIG4" s="79"/>
      <c r="NIH4" s="80"/>
      <c r="NII4" s="80"/>
      <c r="NIJ4" s="80"/>
      <c r="NIK4" s="79"/>
      <c r="NIL4" s="80"/>
      <c r="NIM4" s="80"/>
      <c r="NIN4" s="80"/>
      <c r="NIO4" s="79"/>
      <c r="NIP4" s="80"/>
      <c r="NIQ4" s="80"/>
      <c r="NIR4" s="80"/>
      <c r="NIS4" s="79"/>
      <c r="NIT4" s="80"/>
      <c r="NIU4" s="80"/>
      <c r="NIV4" s="80"/>
      <c r="NIW4" s="79"/>
      <c r="NIX4" s="80"/>
      <c r="NIY4" s="80"/>
      <c r="NIZ4" s="80"/>
      <c r="NJA4" s="79"/>
      <c r="NJB4" s="80"/>
      <c r="NJC4" s="80"/>
      <c r="NJD4" s="80"/>
      <c r="NJE4" s="79"/>
      <c r="NJF4" s="80"/>
      <c r="NJG4" s="80"/>
      <c r="NJH4" s="80"/>
      <c r="NJI4" s="79"/>
      <c r="NJJ4" s="80"/>
      <c r="NJK4" s="80"/>
      <c r="NJL4" s="80"/>
      <c r="NJM4" s="79"/>
      <c r="NJN4" s="80"/>
      <c r="NJO4" s="80"/>
      <c r="NJP4" s="80"/>
      <c r="NJQ4" s="79"/>
      <c r="NJR4" s="80"/>
      <c r="NJS4" s="80"/>
      <c r="NJT4" s="80"/>
      <c r="NJU4" s="79"/>
      <c r="NJV4" s="80"/>
      <c r="NJW4" s="80"/>
      <c r="NJX4" s="80"/>
      <c r="NJY4" s="79"/>
      <c r="NJZ4" s="80"/>
      <c r="NKA4" s="80"/>
      <c r="NKB4" s="80"/>
      <c r="NKC4" s="79"/>
      <c r="NKD4" s="80"/>
      <c r="NKE4" s="80"/>
      <c r="NKF4" s="80"/>
      <c r="NKG4" s="79"/>
      <c r="NKH4" s="80"/>
      <c r="NKI4" s="80"/>
      <c r="NKJ4" s="80"/>
      <c r="NKK4" s="79"/>
      <c r="NKL4" s="80"/>
      <c r="NKM4" s="80"/>
      <c r="NKN4" s="80"/>
      <c r="NKO4" s="79"/>
      <c r="NKP4" s="80"/>
      <c r="NKQ4" s="80"/>
      <c r="NKR4" s="80"/>
      <c r="NKS4" s="79"/>
      <c r="NKT4" s="80"/>
      <c r="NKU4" s="80"/>
      <c r="NKV4" s="80"/>
      <c r="NKW4" s="79"/>
      <c r="NKX4" s="80"/>
      <c r="NKY4" s="80"/>
      <c r="NKZ4" s="80"/>
      <c r="NLA4" s="79"/>
      <c r="NLB4" s="80"/>
      <c r="NLC4" s="80"/>
      <c r="NLD4" s="80"/>
      <c r="NLE4" s="79"/>
      <c r="NLF4" s="80"/>
      <c r="NLG4" s="80"/>
      <c r="NLH4" s="80"/>
      <c r="NLI4" s="79"/>
      <c r="NLJ4" s="80"/>
      <c r="NLK4" s="80"/>
      <c r="NLL4" s="80"/>
      <c r="NLM4" s="79"/>
      <c r="NLN4" s="80"/>
      <c r="NLO4" s="80"/>
      <c r="NLP4" s="80"/>
      <c r="NLQ4" s="79"/>
      <c r="NLR4" s="80"/>
      <c r="NLS4" s="80"/>
      <c r="NLT4" s="80"/>
      <c r="NLU4" s="79"/>
      <c r="NLV4" s="80"/>
      <c r="NLW4" s="80"/>
      <c r="NLX4" s="80"/>
      <c r="NLY4" s="79"/>
      <c r="NLZ4" s="80"/>
      <c r="NMA4" s="80"/>
      <c r="NMB4" s="80"/>
      <c r="NMC4" s="79"/>
      <c r="NMD4" s="80"/>
      <c r="NME4" s="80"/>
      <c r="NMF4" s="80"/>
      <c r="NMG4" s="79"/>
      <c r="NMH4" s="80"/>
      <c r="NMI4" s="80"/>
      <c r="NMJ4" s="80"/>
      <c r="NMK4" s="79"/>
      <c r="NML4" s="80"/>
      <c r="NMM4" s="80"/>
      <c r="NMN4" s="80"/>
      <c r="NMO4" s="79"/>
      <c r="NMP4" s="80"/>
      <c r="NMQ4" s="80"/>
      <c r="NMR4" s="80"/>
      <c r="NMS4" s="79"/>
      <c r="NMT4" s="80"/>
      <c r="NMU4" s="80"/>
      <c r="NMV4" s="80"/>
      <c r="NMW4" s="79"/>
      <c r="NMX4" s="80"/>
      <c r="NMY4" s="80"/>
      <c r="NMZ4" s="80"/>
      <c r="NNA4" s="79"/>
      <c r="NNB4" s="80"/>
      <c r="NNC4" s="80"/>
      <c r="NND4" s="80"/>
      <c r="NNE4" s="79"/>
      <c r="NNF4" s="80"/>
      <c r="NNG4" s="80"/>
      <c r="NNH4" s="80"/>
      <c r="NNI4" s="79"/>
      <c r="NNJ4" s="80"/>
      <c r="NNK4" s="80"/>
      <c r="NNL4" s="80"/>
      <c r="NNM4" s="79"/>
      <c r="NNN4" s="80"/>
      <c r="NNO4" s="80"/>
      <c r="NNP4" s="80"/>
      <c r="NNQ4" s="79"/>
      <c r="NNR4" s="80"/>
      <c r="NNS4" s="80"/>
      <c r="NNT4" s="80"/>
      <c r="NNU4" s="79"/>
      <c r="NNV4" s="80"/>
      <c r="NNW4" s="80"/>
      <c r="NNX4" s="80"/>
      <c r="NNY4" s="79"/>
      <c r="NNZ4" s="80"/>
      <c r="NOA4" s="80"/>
      <c r="NOB4" s="80"/>
      <c r="NOC4" s="79"/>
      <c r="NOD4" s="80"/>
      <c r="NOE4" s="80"/>
      <c r="NOF4" s="80"/>
      <c r="NOG4" s="79"/>
      <c r="NOH4" s="80"/>
      <c r="NOI4" s="80"/>
      <c r="NOJ4" s="80"/>
      <c r="NOK4" s="79"/>
      <c r="NOL4" s="80"/>
      <c r="NOM4" s="80"/>
      <c r="NON4" s="80"/>
      <c r="NOO4" s="79"/>
      <c r="NOP4" s="80"/>
      <c r="NOQ4" s="80"/>
      <c r="NOR4" s="80"/>
      <c r="NOS4" s="79"/>
      <c r="NOT4" s="80"/>
      <c r="NOU4" s="80"/>
      <c r="NOV4" s="80"/>
      <c r="NOW4" s="79"/>
      <c r="NOX4" s="80"/>
      <c r="NOY4" s="80"/>
      <c r="NOZ4" s="80"/>
      <c r="NPA4" s="79"/>
      <c r="NPB4" s="80"/>
      <c r="NPC4" s="80"/>
      <c r="NPD4" s="80"/>
      <c r="NPE4" s="79"/>
      <c r="NPF4" s="80"/>
      <c r="NPG4" s="80"/>
      <c r="NPH4" s="80"/>
      <c r="NPI4" s="79"/>
      <c r="NPJ4" s="80"/>
      <c r="NPK4" s="80"/>
      <c r="NPL4" s="80"/>
      <c r="NPM4" s="79"/>
      <c r="NPN4" s="80"/>
      <c r="NPO4" s="80"/>
      <c r="NPP4" s="80"/>
      <c r="NPQ4" s="79"/>
      <c r="NPR4" s="80"/>
      <c r="NPS4" s="80"/>
      <c r="NPT4" s="80"/>
      <c r="NPU4" s="79"/>
      <c r="NPV4" s="80"/>
      <c r="NPW4" s="80"/>
      <c r="NPX4" s="80"/>
      <c r="NPY4" s="79"/>
      <c r="NPZ4" s="80"/>
      <c r="NQA4" s="80"/>
      <c r="NQB4" s="80"/>
      <c r="NQC4" s="79"/>
      <c r="NQD4" s="80"/>
      <c r="NQE4" s="80"/>
      <c r="NQF4" s="80"/>
      <c r="NQG4" s="79"/>
      <c r="NQH4" s="80"/>
      <c r="NQI4" s="80"/>
      <c r="NQJ4" s="80"/>
      <c r="NQK4" s="79"/>
      <c r="NQL4" s="80"/>
      <c r="NQM4" s="80"/>
      <c r="NQN4" s="80"/>
      <c r="NQO4" s="79"/>
      <c r="NQP4" s="80"/>
      <c r="NQQ4" s="80"/>
      <c r="NQR4" s="80"/>
      <c r="NQS4" s="79"/>
      <c r="NQT4" s="80"/>
      <c r="NQU4" s="80"/>
      <c r="NQV4" s="80"/>
      <c r="NQW4" s="79"/>
      <c r="NQX4" s="80"/>
      <c r="NQY4" s="80"/>
      <c r="NQZ4" s="80"/>
      <c r="NRA4" s="79"/>
      <c r="NRB4" s="80"/>
      <c r="NRC4" s="80"/>
      <c r="NRD4" s="80"/>
      <c r="NRE4" s="79"/>
      <c r="NRF4" s="80"/>
      <c r="NRG4" s="80"/>
      <c r="NRH4" s="80"/>
      <c r="NRI4" s="79"/>
      <c r="NRJ4" s="80"/>
      <c r="NRK4" s="80"/>
      <c r="NRL4" s="80"/>
      <c r="NRM4" s="79"/>
      <c r="NRN4" s="80"/>
      <c r="NRO4" s="80"/>
      <c r="NRP4" s="80"/>
      <c r="NRQ4" s="79"/>
      <c r="NRR4" s="80"/>
      <c r="NRS4" s="80"/>
      <c r="NRT4" s="80"/>
      <c r="NRU4" s="79"/>
      <c r="NRV4" s="80"/>
      <c r="NRW4" s="80"/>
      <c r="NRX4" s="80"/>
      <c r="NRY4" s="79"/>
      <c r="NRZ4" s="80"/>
      <c r="NSA4" s="80"/>
      <c r="NSB4" s="80"/>
      <c r="NSC4" s="79"/>
      <c r="NSD4" s="80"/>
      <c r="NSE4" s="80"/>
      <c r="NSF4" s="80"/>
      <c r="NSG4" s="79"/>
      <c r="NSH4" s="80"/>
      <c r="NSI4" s="80"/>
      <c r="NSJ4" s="80"/>
      <c r="NSK4" s="79"/>
      <c r="NSL4" s="80"/>
      <c r="NSM4" s="80"/>
      <c r="NSN4" s="80"/>
      <c r="NSO4" s="79"/>
      <c r="NSP4" s="80"/>
      <c r="NSQ4" s="80"/>
      <c r="NSR4" s="80"/>
      <c r="NSS4" s="79"/>
      <c r="NST4" s="80"/>
      <c r="NSU4" s="80"/>
      <c r="NSV4" s="80"/>
      <c r="NSW4" s="79"/>
      <c r="NSX4" s="80"/>
      <c r="NSY4" s="80"/>
      <c r="NSZ4" s="80"/>
      <c r="NTA4" s="79"/>
      <c r="NTB4" s="80"/>
      <c r="NTC4" s="80"/>
      <c r="NTD4" s="80"/>
      <c r="NTE4" s="79"/>
      <c r="NTF4" s="80"/>
      <c r="NTG4" s="80"/>
      <c r="NTH4" s="80"/>
      <c r="NTI4" s="79"/>
      <c r="NTJ4" s="80"/>
      <c r="NTK4" s="80"/>
      <c r="NTL4" s="80"/>
      <c r="NTM4" s="79"/>
      <c r="NTN4" s="80"/>
      <c r="NTO4" s="80"/>
      <c r="NTP4" s="80"/>
      <c r="NTQ4" s="79"/>
      <c r="NTR4" s="80"/>
      <c r="NTS4" s="80"/>
      <c r="NTT4" s="80"/>
      <c r="NTU4" s="79"/>
      <c r="NTV4" s="80"/>
      <c r="NTW4" s="80"/>
      <c r="NTX4" s="80"/>
      <c r="NTY4" s="79"/>
      <c r="NTZ4" s="80"/>
      <c r="NUA4" s="80"/>
      <c r="NUB4" s="80"/>
      <c r="NUC4" s="79"/>
      <c r="NUD4" s="80"/>
      <c r="NUE4" s="80"/>
      <c r="NUF4" s="80"/>
      <c r="NUG4" s="79"/>
      <c r="NUH4" s="80"/>
      <c r="NUI4" s="80"/>
      <c r="NUJ4" s="80"/>
      <c r="NUK4" s="79"/>
      <c r="NUL4" s="80"/>
      <c r="NUM4" s="80"/>
      <c r="NUN4" s="80"/>
      <c r="NUO4" s="79"/>
      <c r="NUP4" s="80"/>
      <c r="NUQ4" s="80"/>
      <c r="NUR4" s="80"/>
      <c r="NUS4" s="79"/>
      <c r="NUT4" s="80"/>
      <c r="NUU4" s="80"/>
      <c r="NUV4" s="80"/>
      <c r="NUW4" s="79"/>
      <c r="NUX4" s="80"/>
      <c r="NUY4" s="80"/>
      <c r="NUZ4" s="80"/>
      <c r="NVA4" s="79"/>
      <c r="NVB4" s="80"/>
      <c r="NVC4" s="80"/>
      <c r="NVD4" s="80"/>
      <c r="NVE4" s="79"/>
      <c r="NVF4" s="80"/>
      <c r="NVG4" s="80"/>
      <c r="NVH4" s="80"/>
      <c r="NVI4" s="79"/>
      <c r="NVJ4" s="80"/>
      <c r="NVK4" s="80"/>
      <c r="NVL4" s="80"/>
      <c r="NVM4" s="79"/>
      <c r="NVN4" s="80"/>
      <c r="NVO4" s="80"/>
      <c r="NVP4" s="80"/>
      <c r="NVQ4" s="79"/>
      <c r="NVR4" s="80"/>
      <c r="NVS4" s="80"/>
      <c r="NVT4" s="80"/>
      <c r="NVU4" s="79"/>
      <c r="NVV4" s="80"/>
      <c r="NVW4" s="80"/>
      <c r="NVX4" s="80"/>
      <c r="NVY4" s="79"/>
      <c r="NVZ4" s="80"/>
      <c r="NWA4" s="80"/>
      <c r="NWB4" s="80"/>
      <c r="NWC4" s="79"/>
      <c r="NWD4" s="80"/>
      <c r="NWE4" s="80"/>
      <c r="NWF4" s="80"/>
      <c r="NWG4" s="79"/>
      <c r="NWH4" s="80"/>
      <c r="NWI4" s="80"/>
      <c r="NWJ4" s="80"/>
      <c r="NWK4" s="79"/>
      <c r="NWL4" s="80"/>
      <c r="NWM4" s="80"/>
      <c r="NWN4" s="80"/>
      <c r="NWO4" s="79"/>
      <c r="NWP4" s="80"/>
      <c r="NWQ4" s="80"/>
      <c r="NWR4" s="80"/>
      <c r="NWS4" s="79"/>
      <c r="NWT4" s="80"/>
      <c r="NWU4" s="80"/>
      <c r="NWV4" s="80"/>
      <c r="NWW4" s="79"/>
      <c r="NWX4" s="80"/>
      <c r="NWY4" s="80"/>
      <c r="NWZ4" s="80"/>
      <c r="NXA4" s="79"/>
      <c r="NXB4" s="80"/>
      <c r="NXC4" s="80"/>
      <c r="NXD4" s="80"/>
      <c r="NXE4" s="79"/>
      <c r="NXF4" s="80"/>
      <c r="NXG4" s="80"/>
      <c r="NXH4" s="80"/>
      <c r="NXI4" s="79"/>
      <c r="NXJ4" s="80"/>
      <c r="NXK4" s="80"/>
      <c r="NXL4" s="80"/>
      <c r="NXM4" s="79"/>
      <c r="NXN4" s="80"/>
      <c r="NXO4" s="80"/>
      <c r="NXP4" s="80"/>
      <c r="NXQ4" s="79"/>
      <c r="NXR4" s="80"/>
      <c r="NXS4" s="80"/>
      <c r="NXT4" s="80"/>
      <c r="NXU4" s="79"/>
      <c r="NXV4" s="80"/>
      <c r="NXW4" s="80"/>
      <c r="NXX4" s="80"/>
      <c r="NXY4" s="79"/>
      <c r="NXZ4" s="80"/>
      <c r="NYA4" s="80"/>
      <c r="NYB4" s="80"/>
      <c r="NYC4" s="79"/>
      <c r="NYD4" s="80"/>
      <c r="NYE4" s="80"/>
      <c r="NYF4" s="80"/>
      <c r="NYG4" s="79"/>
      <c r="NYH4" s="80"/>
      <c r="NYI4" s="80"/>
      <c r="NYJ4" s="80"/>
      <c r="NYK4" s="79"/>
      <c r="NYL4" s="80"/>
      <c r="NYM4" s="80"/>
      <c r="NYN4" s="80"/>
      <c r="NYO4" s="79"/>
      <c r="NYP4" s="80"/>
      <c r="NYQ4" s="80"/>
      <c r="NYR4" s="80"/>
      <c r="NYS4" s="79"/>
      <c r="NYT4" s="80"/>
      <c r="NYU4" s="80"/>
      <c r="NYV4" s="80"/>
      <c r="NYW4" s="79"/>
      <c r="NYX4" s="80"/>
      <c r="NYY4" s="80"/>
      <c r="NYZ4" s="80"/>
      <c r="NZA4" s="79"/>
      <c r="NZB4" s="80"/>
      <c r="NZC4" s="80"/>
      <c r="NZD4" s="80"/>
      <c r="NZE4" s="79"/>
      <c r="NZF4" s="80"/>
      <c r="NZG4" s="80"/>
      <c r="NZH4" s="80"/>
      <c r="NZI4" s="79"/>
      <c r="NZJ4" s="80"/>
      <c r="NZK4" s="80"/>
      <c r="NZL4" s="80"/>
      <c r="NZM4" s="79"/>
      <c r="NZN4" s="80"/>
      <c r="NZO4" s="80"/>
      <c r="NZP4" s="80"/>
      <c r="NZQ4" s="79"/>
      <c r="NZR4" s="80"/>
      <c r="NZS4" s="80"/>
      <c r="NZT4" s="80"/>
      <c r="NZU4" s="79"/>
      <c r="NZV4" s="80"/>
      <c r="NZW4" s="80"/>
      <c r="NZX4" s="80"/>
      <c r="NZY4" s="79"/>
      <c r="NZZ4" s="80"/>
      <c r="OAA4" s="80"/>
      <c r="OAB4" s="80"/>
      <c r="OAC4" s="79"/>
      <c r="OAD4" s="80"/>
      <c r="OAE4" s="80"/>
      <c r="OAF4" s="80"/>
      <c r="OAG4" s="79"/>
      <c r="OAH4" s="80"/>
      <c r="OAI4" s="80"/>
      <c r="OAJ4" s="80"/>
      <c r="OAK4" s="79"/>
      <c r="OAL4" s="80"/>
      <c r="OAM4" s="80"/>
      <c r="OAN4" s="80"/>
      <c r="OAO4" s="79"/>
      <c r="OAP4" s="80"/>
      <c r="OAQ4" s="80"/>
      <c r="OAR4" s="80"/>
      <c r="OAS4" s="79"/>
      <c r="OAT4" s="80"/>
      <c r="OAU4" s="80"/>
      <c r="OAV4" s="80"/>
      <c r="OAW4" s="79"/>
      <c r="OAX4" s="80"/>
      <c r="OAY4" s="80"/>
      <c r="OAZ4" s="80"/>
      <c r="OBA4" s="79"/>
      <c r="OBB4" s="80"/>
      <c r="OBC4" s="80"/>
      <c r="OBD4" s="80"/>
      <c r="OBE4" s="79"/>
      <c r="OBF4" s="80"/>
      <c r="OBG4" s="80"/>
      <c r="OBH4" s="80"/>
      <c r="OBI4" s="79"/>
      <c r="OBJ4" s="80"/>
      <c r="OBK4" s="80"/>
      <c r="OBL4" s="80"/>
      <c r="OBM4" s="79"/>
      <c r="OBN4" s="80"/>
      <c r="OBO4" s="80"/>
      <c r="OBP4" s="80"/>
      <c r="OBQ4" s="79"/>
      <c r="OBR4" s="80"/>
      <c r="OBS4" s="80"/>
      <c r="OBT4" s="80"/>
      <c r="OBU4" s="79"/>
      <c r="OBV4" s="80"/>
      <c r="OBW4" s="80"/>
      <c r="OBX4" s="80"/>
      <c r="OBY4" s="79"/>
      <c r="OBZ4" s="80"/>
      <c r="OCA4" s="80"/>
      <c r="OCB4" s="80"/>
      <c r="OCC4" s="79"/>
      <c r="OCD4" s="80"/>
      <c r="OCE4" s="80"/>
      <c r="OCF4" s="80"/>
      <c r="OCG4" s="79"/>
      <c r="OCH4" s="80"/>
      <c r="OCI4" s="80"/>
      <c r="OCJ4" s="80"/>
      <c r="OCK4" s="79"/>
      <c r="OCL4" s="80"/>
      <c r="OCM4" s="80"/>
      <c r="OCN4" s="80"/>
      <c r="OCO4" s="79"/>
      <c r="OCP4" s="80"/>
      <c r="OCQ4" s="80"/>
      <c r="OCR4" s="80"/>
      <c r="OCS4" s="79"/>
      <c r="OCT4" s="80"/>
      <c r="OCU4" s="80"/>
      <c r="OCV4" s="80"/>
      <c r="OCW4" s="79"/>
      <c r="OCX4" s="80"/>
      <c r="OCY4" s="80"/>
      <c r="OCZ4" s="80"/>
      <c r="ODA4" s="79"/>
      <c r="ODB4" s="80"/>
      <c r="ODC4" s="80"/>
      <c r="ODD4" s="80"/>
      <c r="ODE4" s="79"/>
      <c r="ODF4" s="80"/>
      <c r="ODG4" s="80"/>
      <c r="ODH4" s="80"/>
      <c r="ODI4" s="79"/>
      <c r="ODJ4" s="80"/>
      <c r="ODK4" s="80"/>
      <c r="ODL4" s="80"/>
      <c r="ODM4" s="79"/>
      <c r="ODN4" s="80"/>
      <c r="ODO4" s="80"/>
      <c r="ODP4" s="80"/>
      <c r="ODQ4" s="79"/>
      <c r="ODR4" s="80"/>
      <c r="ODS4" s="80"/>
      <c r="ODT4" s="80"/>
      <c r="ODU4" s="79"/>
      <c r="ODV4" s="80"/>
      <c r="ODW4" s="80"/>
      <c r="ODX4" s="80"/>
      <c r="ODY4" s="79"/>
      <c r="ODZ4" s="80"/>
      <c r="OEA4" s="80"/>
      <c r="OEB4" s="80"/>
      <c r="OEC4" s="79"/>
      <c r="OED4" s="80"/>
      <c r="OEE4" s="80"/>
      <c r="OEF4" s="80"/>
      <c r="OEG4" s="79"/>
      <c r="OEH4" s="80"/>
      <c r="OEI4" s="80"/>
      <c r="OEJ4" s="80"/>
      <c r="OEK4" s="79"/>
      <c r="OEL4" s="80"/>
      <c r="OEM4" s="80"/>
      <c r="OEN4" s="80"/>
      <c r="OEO4" s="79"/>
      <c r="OEP4" s="80"/>
      <c r="OEQ4" s="80"/>
      <c r="OER4" s="80"/>
      <c r="OES4" s="79"/>
      <c r="OET4" s="80"/>
      <c r="OEU4" s="80"/>
      <c r="OEV4" s="80"/>
      <c r="OEW4" s="79"/>
      <c r="OEX4" s="80"/>
      <c r="OEY4" s="80"/>
      <c r="OEZ4" s="80"/>
      <c r="OFA4" s="79"/>
      <c r="OFB4" s="80"/>
      <c r="OFC4" s="80"/>
      <c r="OFD4" s="80"/>
      <c r="OFE4" s="79"/>
      <c r="OFF4" s="80"/>
      <c r="OFG4" s="80"/>
      <c r="OFH4" s="80"/>
      <c r="OFI4" s="79"/>
      <c r="OFJ4" s="80"/>
      <c r="OFK4" s="80"/>
      <c r="OFL4" s="80"/>
      <c r="OFM4" s="79"/>
      <c r="OFN4" s="80"/>
      <c r="OFO4" s="80"/>
      <c r="OFP4" s="80"/>
      <c r="OFQ4" s="79"/>
      <c r="OFR4" s="80"/>
      <c r="OFS4" s="80"/>
      <c r="OFT4" s="80"/>
      <c r="OFU4" s="79"/>
      <c r="OFV4" s="80"/>
      <c r="OFW4" s="80"/>
      <c r="OFX4" s="80"/>
      <c r="OFY4" s="79"/>
      <c r="OFZ4" s="80"/>
      <c r="OGA4" s="80"/>
      <c r="OGB4" s="80"/>
      <c r="OGC4" s="79"/>
      <c r="OGD4" s="80"/>
      <c r="OGE4" s="80"/>
      <c r="OGF4" s="80"/>
      <c r="OGG4" s="79"/>
      <c r="OGH4" s="80"/>
      <c r="OGI4" s="80"/>
      <c r="OGJ4" s="80"/>
      <c r="OGK4" s="79"/>
      <c r="OGL4" s="80"/>
      <c r="OGM4" s="80"/>
      <c r="OGN4" s="80"/>
      <c r="OGO4" s="79"/>
      <c r="OGP4" s="80"/>
      <c r="OGQ4" s="80"/>
      <c r="OGR4" s="80"/>
      <c r="OGS4" s="79"/>
      <c r="OGT4" s="80"/>
      <c r="OGU4" s="80"/>
      <c r="OGV4" s="80"/>
      <c r="OGW4" s="79"/>
      <c r="OGX4" s="80"/>
      <c r="OGY4" s="80"/>
      <c r="OGZ4" s="80"/>
      <c r="OHA4" s="79"/>
      <c r="OHB4" s="80"/>
      <c r="OHC4" s="80"/>
      <c r="OHD4" s="80"/>
      <c r="OHE4" s="79"/>
      <c r="OHF4" s="80"/>
      <c r="OHG4" s="80"/>
      <c r="OHH4" s="80"/>
      <c r="OHI4" s="79"/>
      <c r="OHJ4" s="80"/>
      <c r="OHK4" s="80"/>
      <c r="OHL4" s="80"/>
      <c r="OHM4" s="79"/>
      <c r="OHN4" s="80"/>
      <c r="OHO4" s="80"/>
      <c r="OHP4" s="80"/>
      <c r="OHQ4" s="79"/>
      <c r="OHR4" s="80"/>
      <c r="OHS4" s="80"/>
      <c r="OHT4" s="80"/>
      <c r="OHU4" s="79"/>
      <c r="OHV4" s="80"/>
      <c r="OHW4" s="80"/>
      <c r="OHX4" s="80"/>
      <c r="OHY4" s="79"/>
      <c r="OHZ4" s="80"/>
      <c r="OIA4" s="80"/>
      <c r="OIB4" s="80"/>
      <c r="OIC4" s="79"/>
      <c r="OID4" s="80"/>
      <c r="OIE4" s="80"/>
      <c r="OIF4" s="80"/>
      <c r="OIG4" s="79"/>
      <c r="OIH4" s="80"/>
      <c r="OII4" s="80"/>
      <c r="OIJ4" s="80"/>
      <c r="OIK4" s="79"/>
      <c r="OIL4" s="80"/>
      <c r="OIM4" s="80"/>
      <c r="OIN4" s="80"/>
      <c r="OIO4" s="79"/>
      <c r="OIP4" s="80"/>
      <c r="OIQ4" s="80"/>
      <c r="OIR4" s="80"/>
      <c r="OIS4" s="79"/>
      <c r="OIT4" s="80"/>
      <c r="OIU4" s="80"/>
      <c r="OIV4" s="80"/>
      <c r="OIW4" s="79"/>
      <c r="OIX4" s="80"/>
      <c r="OIY4" s="80"/>
      <c r="OIZ4" s="80"/>
      <c r="OJA4" s="79"/>
      <c r="OJB4" s="80"/>
      <c r="OJC4" s="80"/>
      <c r="OJD4" s="80"/>
      <c r="OJE4" s="79"/>
      <c r="OJF4" s="80"/>
      <c r="OJG4" s="80"/>
      <c r="OJH4" s="80"/>
      <c r="OJI4" s="79"/>
      <c r="OJJ4" s="80"/>
      <c r="OJK4" s="80"/>
      <c r="OJL4" s="80"/>
      <c r="OJM4" s="79"/>
      <c r="OJN4" s="80"/>
      <c r="OJO4" s="80"/>
      <c r="OJP4" s="80"/>
      <c r="OJQ4" s="79"/>
      <c r="OJR4" s="80"/>
      <c r="OJS4" s="80"/>
      <c r="OJT4" s="80"/>
      <c r="OJU4" s="79"/>
      <c r="OJV4" s="80"/>
      <c r="OJW4" s="80"/>
      <c r="OJX4" s="80"/>
      <c r="OJY4" s="79"/>
      <c r="OJZ4" s="80"/>
      <c r="OKA4" s="80"/>
      <c r="OKB4" s="80"/>
      <c r="OKC4" s="79"/>
      <c r="OKD4" s="80"/>
      <c r="OKE4" s="80"/>
      <c r="OKF4" s="80"/>
      <c r="OKG4" s="79"/>
      <c r="OKH4" s="80"/>
      <c r="OKI4" s="80"/>
      <c r="OKJ4" s="80"/>
      <c r="OKK4" s="79"/>
      <c r="OKL4" s="80"/>
      <c r="OKM4" s="80"/>
      <c r="OKN4" s="80"/>
      <c r="OKO4" s="79"/>
      <c r="OKP4" s="80"/>
      <c r="OKQ4" s="80"/>
      <c r="OKR4" s="80"/>
      <c r="OKS4" s="79"/>
      <c r="OKT4" s="80"/>
      <c r="OKU4" s="80"/>
      <c r="OKV4" s="80"/>
      <c r="OKW4" s="79"/>
      <c r="OKX4" s="80"/>
      <c r="OKY4" s="80"/>
      <c r="OKZ4" s="80"/>
      <c r="OLA4" s="79"/>
      <c r="OLB4" s="80"/>
      <c r="OLC4" s="80"/>
      <c r="OLD4" s="80"/>
      <c r="OLE4" s="79"/>
      <c r="OLF4" s="80"/>
      <c r="OLG4" s="80"/>
      <c r="OLH4" s="80"/>
      <c r="OLI4" s="79"/>
      <c r="OLJ4" s="80"/>
      <c r="OLK4" s="80"/>
      <c r="OLL4" s="80"/>
      <c r="OLM4" s="79"/>
      <c r="OLN4" s="80"/>
      <c r="OLO4" s="80"/>
      <c r="OLP4" s="80"/>
      <c r="OLQ4" s="79"/>
      <c r="OLR4" s="80"/>
      <c r="OLS4" s="80"/>
      <c r="OLT4" s="80"/>
      <c r="OLU4" s="79"/>
      <c r="OLV4" s="80"/>
      <c r="OLW4" s="80"/>
      <c r="OLX4" s="80"/>
      <c r="OLY4" s="79"/>
      <c r="OLZ4" s="80"/>
      <c r="OMA4" s="80"/>
      <c r="OMB4" s="80"/>
      <c r="OMC4" s="79"/>
      <c r="OMD4" s="80"/>
      <c r="OME4" s="80"/>
      <c r="OMF4" s="80"/>
      <c r="OMG4" s="79"/>
      <c r="OMH4" s="80"/>
      <c r="OMI4" s="80"/>
      <c r="OMJ4" s="80"/>
      <c r="OMK4" s="79"/>
      <c r="OML4" s="80"/>
      <c r="OMM4" s="80"/>
      <c r="OMN4" s="80"/>
      <c r="OMO4" s="79"/>
      <c r="OMP4" s="80"/>
      <c r="OMQ4" s="80"/>
      <c r="OMR4" s="80"/>
      <c r="OMS4" s="79"/>
      <c r="OMT4" s="80"/>
      <c r="OMU4" s="80"/>
      <c r="OMV4" s="80"/>
      <c r="OMW4" s="79"/>
      <c r="OMX4" s="80"/>
      <c r="OMY4" s="80"/>
      <c r="OMZ4" s="80"/>
      <c r="ONA4" s="79"/>
      <c r="ONB4" s="80"/>
      <c r="ONC4" s="80"/>
      <c r="OND4" s="80"/>
      <c r="ONE4" s="79"/>
      <c r="ONF4" s="80"/>
      <c r="ONG4" s="80"/>
      <c r="ONH4" s="80"/>
      <c r="ONI4" s="79"/>
      <c r="ONJ4" s="80"/>
      <c r="ONK4" s="80"/>
      <c r="ONL4" s="80"/>
      <c r="ONM4" s="79"/>
      <c r="ONN4" s="80"/>
      <c r="ONO4" s="80"/>
      <c r="ONP4" s="80"/>
      <c r="ONQ4" s="79"/>
      <c r="ONR4" s="80"/>
      <c r="ONS4" s="80"/>
      <c r="ONT4" s="80"/>
      <c r="ONU4" s="79"/>
      <c r="ONV4" s="80"/>
      <c r="ONW4" s="80"/>
      <c r="ONX4" s="80"/>
      <c r="ONY4" s="79"/>
      <c r="ONZ4" s="80"/>
      <c r="OOA4" s="80"/>
      <c r="OOB4" s="80"/>
      <c r="OOC4" s="79"/>
      <c r="OOD4" s="80"/>
      <c r="OOE4" s="80"/>
      <c r="OOF4" s="80"/>
      <c r="OOG4" s="79"/>
      <c r="OOH4" s="80"/>
      <c r="OOI4" s="80"/>
      <c r="OOJ4" s="80"/>
      <c r="OOK4" s="79"/>
      <c r="OOL4" s="80"/>
      <c r="OOM4" s="80"/>
      <c r="OON4" s="80"/>
      <c r="OOO4" s="79"/>
      <c r="OOP4" s="80"/>
      <c r="OOQ4" s="80"/>
      <c r="OOR4" s="80"/>
      <c r="OOS4" s="79"/>
      <c r="OOT4" s="80"/>
      <c r="OOU4" s="80"/>
      <c r="OOV4" s="80"/>
      <c r="OOW4" s="79"/>
      <c r="OOX4" s="80"/>
      <c r="OOY4" s="80"/>
      <c r="OOZ4" s="80"/>
      <c r="OPA4" s="79"/>
      <c r="OPB4" s="80"/>
      <c r="OPC4" s="80"/>
      <c r="OPD4" s="80"/>
      <c r="OPE4" s="79"/>
      <c r="OPF4" s="80"/>
      <c r="OPG4" s="80"/>
      <c r="OPH4" s="80"/>
      <c r="OPI4" s="79"/>
      <c r="OPJ4" s="80"/>
      <c r="OPK4" s="80"/>
      <c r="OPL4" s="80"/>
      <c r="OPM4" s="79"/>
      <c r="OPN4" s="80"/>
      <c r="OPO4" s="80"/>
      <c r="OPP4" s="80"/>
      <c r="OPQ4" s="79"/>
      <c r="OPR4" s="80"/>
      <c r="OPS4" s="80"/>
      <c r="OPT4" s="80"/>
      <c r="OPU4" s="79"/>
      <c r="OPV4" s="80"/>
      <c r="OPW4" s="80"/>
      <c r="OPX4" s="80"/>
      <c r="OPY4" s="79"/>
      <c r="OPZ4" s="80"/>
      <c r="OQA4" s="80"/>
      <c r="OQB4" s="80"/>
      <c r="OQC4" s="79"/>
      <c r="OQD4" s="80"/>
      <c r="OQE4" s="80"/>
      <c r="OQF4" s="80"/>
      <c r="OQG4" s="79"/>
      <c r="OQH4" s="80"/>
      <c r="OQI4" s="80"/>
      <c r="OQJ4" s="80"/>
      <c r="OQK4" s="79"/>
      <c r="OQL4" s="80"/>
      <c r="OQM4" s="80"/>
      <c r="OQN4" s="80"/>
      <c r="OQO4" s="79"/>
      <c r="OQP4" s="80"/>
      <c r="OQQ4" s="80"/>
      <c r="OQR4" s="80"/>
      <c r="OQS4" s="79"/>
      <c r="OQT4" s="80"/>
      <c r="OQU4" s="80"/>
      <c r="OQV4" s="80"/>
      <c r="OQW4" s="79"/>
      <c r="OQX4" s="80"/>
      <c r="OQY4" s="80"/>
      <c r="OQZ4" s="80"/>
      <c r="ORA4" s="79"/>
      <c r="ORB4" s="80"/>
      <c r="ORC4" s="80"/>
      <c r="ORD4" s="80"/>
      <c r="ORE4" s="79"/>
      <c r="ORF4" s="80"/>
      <c r="ORG4" s="80"/>
      <c r="ORH4" s="80"/>
      <c r="ORI4" s="79"/>
      <c r="ORJ4" s="80"/>
      <c r="ORK4" s="80"/>
      <c r="ORL4" s="80"/>
      <c r="ORM4" s="79"/>
      <c r="ORN4" s="80"/>
      <c r="ORO4" s="80"/>
      <c r="ORP4" s="80"/>
      <c r="ORQ4" s="79"/>
      <c r="ORR4" s="80"/>
      <c r="ORS4" s="80"/>
      <c r="ORT4" s="80"/>
      <c r="ORU4" s="79"/>
      <c r="ORV4" s="80"/>
      <c r="ORW4" s="80"/>
      <c r="ORX4" s="80"/>
      <c r="ORY4" s="79"/>
      <c r="ORZ4" s="80"/>
      <c r="OSA4" s="80"/>
      <c r="OSB4" s="80"/>
      <c r="OSC4" s="79"/>
      <c r="OSD4" s="80"/>
      <c r="OSE4" s="80"/>
      <c r="OSF4" s="80"/>
      <c r="OSG4" s="79"/>
      <c r="OSH4" s="80"/>
      <c r="OSI4" s="80"/>
      <c r="OSJ4" s="80"/>
      <c r="OSK4" s="79"/>
      <c r="OSL4" s="80"/>
      <c r="OSM4" s="80"/>
      <c r="OSN4" s="80"/>
      <c r="OSO4" s="79"/>
      <c r="OSP4" s="80"/>
      <c r="OSQ4" s="80"/>
      <c r="OSR4" s="80"/>
      <c r="OSS4" s="79"/>
      <c r="OST4" s="80"/>
      <c r="OSU4" s="80"/>
      <c r="OSV4" s="80"/>
      <c r="OSW4" s="79"/>
      <c r="OSX4" s="80"/>
      <c r="OSY4" s="80"/>
      <c r="OSZ4" s="80"/>
      <c r="OTA4" s="79"/>
      <c r="OTB4" s="80"/>
      <c r="OTC4" s="80"/>
      <c r="OTD4" s="80"/>
      <c r="OTE4" s="79"/>
      <c r="OTF4" s="80"/>
      <c r="OTG4" s="80"/>
      <c r="OTH4" s="80"/>
      <c r="OTI4" s="79"/>
      <c r="OTJ4" s="80"/>
      <c r="OTK4" s="80"/>
      <c r="OTL4" s="80"/>
      <c r="OTM4" s="79"/>
      <c r="OTN4" s="80"/>
      <c r="OTO4" s="80"/>
      <c r="OTP4" s="80"/>
      <c r="OTQ4" s="79"/>
      <c r="OTR4" s="80"/>
      <c r="OTS4" s="80"/>
      <c r="OTT4" s="80"/>
      <c r="OTU4" s="79"/>
      <c r="OTV4" s="80"/>
      <c r="OTW4" s="80"/>
      <c r="OTX4" s="80"/>
      <c r="OTY4" s="79"/>
      <c r="OTZ4" s="80"/>
      <c r="OUA4" s="80"/>
      <c r="OUB4" s="80"/>
      <c r="OUC4" s="79"/>
      <c r="OUD4" s="80"/>
      <c r="OUE4" s="80"/>
      <c r="OUF4" s="80"/>
      <c r="OUG4" s="79"/>
      <c r="OUH4" s="80"/>
      <c r="OUI4" s="80"/>
      <c r="OUJ4" s="80"/>
      <c r="OUK4" s="79"/>
      <c r="OUL4" s="80"/>
      <c r="OUM4" s="80"/>
      <c r="OUN4" s="80"/>
      <c r="OUO4" s="79"/>
      <c r="OUP4" s="80"/>
      <c r="OUQ4" s="80"/>
      <c r="OUR4" s="80"/>
      <c r="OUS4" s="79"/>
      <c r="OUT4" s="80"/>
      <c r="OUU4" s="80"/>
      <c r="OUV4" s="80"/>
      <c r="OUW4" s="79"/>
      <c r="OUX4" s="80"/>
      <c r="OUY4" s="80"/>
      <c r="OUZ4" s="80"/>
      <c r="OVA4" s="79"/>
      <c r="OVB4" s="80"/>
      <c r="OVC4" s="80"/>
      <c r="OVD4" s="80"/>
      <c r="OVE4" s="79"/>
      <c r="OVF4" s="80"/>
      <c r="OVG4" s="80"/>
      <c r="OVH4" s="80"/>
      <c r="OVI4" s="79"/>
      <c r="OVJ4" s="80"/>
      <c r="OVK4" s="80"/>
      <c r="OVL4" s="80"/>
      <c r="OVM4" s="79"/>
      <c r="OVN4" s="80"/>
      <c r="OVO4" s="80"/>
      <c r="OVP4" s="80"/>
      <c r="OVQ4" s="79"/>
      <c r="OVR4" s="80"/>
      <c r="OVS4" s="80"/>
      <c r="OVT4" s="80"/>
      <c r="OVU4" s="79"/>
      <c r="OVV4" s="80"/>
      <c r="OVW4" s="80"/>
      <c r="OVX4" s="80"/>
      <c r="OVY4" s="79"/>
      <c r="OVZ4" s="80"/>
      <c r="OWA4" s="80"/>
      <c r="OWB4" s="80"/>
      <c r="OWC4" s="79"/>
      <c r="OWD4" s="80"/>
      <c r="OWE4" s="80"/>
      <c r="OWF4" s="80"/>
      <c r="OWG4" s="79"/>
      <c r="OWH4" s="80"/>
      <c r="OWI4" s="80"/>
      <c r="OWJ4" s="80"/>
      <c r="OWK4" s="79"/>
      <c r="OWL4" s="80"/>
      <c r="OWM4" s="80"/>
      <c r="OWN4" s="80"/>
      <c r="OWO4" s="79"/>
      <c r="OWP4" s="80"/>
      <c r="OWQ4" s="80"/>
      <c r="OWR4" s="80"/>
      <c r="OWS4" s="79"/>
      <c r="OWT4" s="80"/>
      <c r="OWU4" s="80"/>
      <c r="OWV4" s="80"/>
      <c r="OWW4" s="79"/>
      <c r="OWX4" s="80"/>
      <c r="OWY4" s="80"/>
      <c r="OWZ4" s="80"/>
      <c r="OXA4" s="79"/>
      <c r="OXB4" s="80"/>
      <c r="OXC4" s="80"/>
      <c r="OXD4" s="80"/>
      <c r="OXE4" s="79"/>
      <c r="OXF4" s="80"/>
      <c r="OXG4" s="80"/>
      <c r="OXH4" s="80"/>
      <c r="OXI4" s="79"/>
      <c r="OXJ4" s="80"/>
      <c r="OXK4" s="80"/>
      <c r="OXL4" s="80"/>
      <c r="OXM4" s="79"/>
      <c r="OXN4" s="80"/>
      <c r="OXO4" s="80"/>
      <c r="OXP4" s="80"/>
      <c r="OXQ4" s="79"/>
      <c r="OXR4" s="80"/>
      <c r="OXS4" s="80"/>
      <c r="OXT4" s="80"/>
      <c r="OXU4" s="79"/>
      <c r="OXV4" s="80"/>
      <c r="OXW4" s="80"/>
      <c r="OXX4" s="80"/>
      <c r="OXY4" s="79"/>
      <c r="OXZ4" s="80"/>
      <c r="OYA4" s="80"/>
      <c r="OYB4" s="80"/>
      <c r="OYC4" s="79"/>
      <c r="OYD4" s="80"/>
      <c r="OYE4" s="80"/>
      <c r="OYF4" s="80"/>
      <c r="OYG4" s="79"/>
      <c r="OYH4" s="80"/>
      <c r="OYI4" s="80"/>
      <c r="OYJ4" s="80"/>
      <c r="OYK4" s="79"/>
      <c r="OYL4" s="80"/>
      <c r="OYM4" s="80"/>
      <c r="OYN4" s="80"/>
      <c r="OYO4" s="79"/>
      <c r="OYP4" s="80"/>
      <c r="OYQ4" s="80"/>
      <c r="OYR4" s="80"/>
      <c r="OYS4" s="79"/>
      <c r="OYT4" s="80"/>
      <c r="OYU4" s="80"/>
      <c r="OYV4" s="80"/>
      <c r="OYW4" s="79"/>
      <c r="OYX4" s="80"/>
      <c r="OYY4" s="80"/>
      <c r="OYZ4" s="80"/>
      <c r="OZA4" s="79"/>
      <c r="OZB4" s="80"/>
      <c r="OZC4" s="80"/>
      <c r="OZD4" s="80"/>
      <c r="OZE4" s="79"/>
      <c r="OZF4" s="80"/>
      <c r="OZG4" s="80"/>
      <c r="OZH4" s="80"/>
      <c r="OZI4" s="79"/>
      <c r="OZJ4" s="80"/>
      <c r="OZK4" s="80"/>
      <c r="OZL4" s="80"/>
      <c r="OZM4" s="79"/>
      <c r="OZN4" s="80"/>
      <c r="OZO4" s="80"/>
      <c r="OZP4" s="80"/>
      <c r="OZQ4" s="79"/>
      <c r="OZR4" s="80"/>
      <c r="OZS4" s="80"/>
      <c r="OZT4" s="80"/>
      <c r="OZU4" s="79"/>
      <c r="OZV4" s="80"/>
      <c r="OZW4" s="80"/>
      <c r="OZX4" s="80"/>
      <c r="OZY4" s="79"/>
      <c r="OZZ4" s="80"/>
      <c r="PAA4" s="80"/>
      <c r="PAB4" s="80"/>
      <c r="PAC4" s="79"/>
      <c r="PAD4" s="80"/>
      <c r="PAE4" s="80"/>
      <c r="PAF4" s="80"/>
      <c r="PAG4" s="79"/>
      <c r="PAH4" s="80"/>
      <c r="PAI4" s="80"/>
      <c r="PAJ4" s="80"/>
      <c r="PAK4" s="79"/>
      <c r="PAL4" s="80"/>
      <c r="PAM4" s="80"/>
      <c r="PAN4" s="80"/>
      <c r="PAO4" s="79"/>
      <c r="PAP4" s="80"/>
      <c r="PAQ4" s="80"/>
      <c r="PAR4" s="80"/>
      <c r="PAS4" s="79"/>
      <c r="PAT4" s="80"/>
      <c r="PAU4" s="80"/>
      <c r="PAV4" s="80"/>
      <c r="PAW4" s="79"/>
      <c r="PAX4" s="80"/>
      <c r="PAY4" s="80"/>
      <c r="PAZ4" s="80"/>
      <c r="PBA4" s="79"/>
      <c r="PBB4" s="80"/>
      <c r="PBC4" s="80"/>
      <c r="PBD4" s="80"/>
      <c r="PBE4" s="79"/>
      <c r="PBF4" s="80"/>
      <c r="PBG4" s="80"/>
      <c r="PBH4" s="80"/>
      <c r="PBI4" s="79"/>
      <c r="PBJ4" s="80"/>
      <c r="PBK4" s="80"/>
      <c r="PBL4" s="80"/>
      <c r="PBM4" s="79"/>
      <c r="PBN4" s="80"/>
      <c r="PBO4" s="80"/>
      <c r="PBP4" s="80"/>
      <c r="PBQ4" s="79"/>
      <c r="PBR4" s="80"/>
      <c r="PBS4" s="80"/>
      <c r="PBT4" s="80"/>
      <c r="PBU4" s="79"/>
      <c r="PBV4" s="80"/>
      <c r="PBW4" s="80"/>
      <c r="PBX4" s="80"/>
      <c r="PBY4" s="79"/>
      <c r="PBZ4" s="80"/>
      <c r="PCA4" s="80"/>
      <c r="PCB4" s="80"/>
      <c r="PCC4" s="79"/>
      <c r="PCD4" s="80"/>
      <c r="PCE4" s="80"/>
      <c r="PCF4" s="80"/>
      <c r="PCG4" s="79"/>
      <c r="PCH4" s="80"/>
      <c r="PCI4" s="80"/>
      <c r="PCJ4" s="80"/>
      <c r="PCK4" s="79"/>
      <c r="PCL4" s="80"/>
      <c r="PCM4" s="80"/>
      <c r="PCN4" s="80"/>
      <c r="PCO4" s="79"/>
      <c r="PCP4" s="80"/>
      <c r="PCQ4" s="80"/>
      <c r="PCR4" s="80"/>
      <c r="PCS4" s="79"/>
      <c r="PCT4" s="80"/>
      <c r="PCU4" s="80"/>
      <c r="PCV4" s="80"/>
      <c r="PCW4" s="79"/>
      <c r="PCX4" s="80"/>
      <c r="PCY4" s="80"/>
      <c r="PCZ4" s="80"/>
      <c r="PDA4" s="79"/>
      <c r="PDB4" s="80"/>
      <c r="PDC4" s="80"/>
      <c r="PDD4" s="80"/>
      <c r="PDE4" s="79"/>
      <c r="PDF4" s="80"/>
      <c r="PDG4" s="80"/>
      <c r="PDH4" s="80"/>
      <c r="PDI4" s="79"/>
      <c r="PDJ4" s="80"/>
      <c r="PDK4" s="80"/>
      <c r="PDL4" s="80"/>
      <c r="PDM4" s="79"/>
      <c r="PDN4" s="80"/>
      <c r="PDO4" s="80"/>
      <c r="PDP4" s="80"/>
      <c r="PDQ4" s="79"/>
      <c r="PDR4" s="80"/>
      <c r="PDS4" s="80"/>
      <c r="PDT4" s="80"/>
      <c r="PDU4" s="79"/>
      <c r="PDV4" s="80"/>
      <c r="PDW4" s="80"/>
      <c r="PDX4" s="80"/>
      <c r="PDY4" s="79"/>
      <c r="PDZ4" s="80"/>
      <c r="PEA4" s="80"/>
      <c r="PEB4" s="80"/>
      <c r="PEC4" s="79"/>
      <c r="PED4" s="80"/>
      <c r="PEE4" s="80"/>
      <c r="PEF4" s="80"/>
      <c r="PEG4" s="79"/>
      <c r="PEH4" s="80"/>
      <c r="PEI4" s="80"/>
      <c r="PEJ4" s="80"/>
      <c r="PEK4" s="79"/>
      <c r="PEL4" s="80"/>
      <c r="PEM4" s="80"/>
      <c r="PEN4" s="80"/>
      <c r="PEO4" s="79"/>
      <c r="PEP4" s="80"/>
      <c r="PEQ4" s="80"/>
      <c r="PER4" s="80"/>
      <c r="PES4" s="79"/>
      <c r="PET4" s="80"/>
      <c r="PEU4" s="80"/>
      <c r="PEV4" s="80"/>
      <c r="PEW4" s="79"/>
      <c r="PEX4" s="80"/>
      <c r="PEY4" s="80"/>
      <c r="PEZ4" s="80"/>
      <c r="PFA4" s="79"/>
      <c r="PFB4" s="80"/>
      <c r="PFC4" s="80"/>
      <c r="PFD4" s="80"/>
      <c r="PFE4" s="79"/>
      <c r="PFF4" s="80"/>
      <c r="PFG4" s="80"/>
      <c r="PFH4" s="80"/>
      <c r="PFI4" s="79"/>
      <c r="PFJ4" s="80"/>
      <c r="PFK4" s="80"/>
      <c r="PFL4" s="80"/>
      <c r="PFM4" s="79"/>
      <c r="PFN4" s="80"/>
      <c r="PFO4" s="80"/>
      <c r="PFP4" s="80"/>
      <c r="PFQ4" s="79"/>
      <c r="PFR4" s="80"/>
      <c r="PFS4" s="80"/>
      <c r="PFT4" s="80"/>
      <c r="PFU4" s="79"/>
      <c r="PFV4" s="80"/>
      <c r="PFW4" s="80"/>
      <c r="PFX4" s="80"/>
      <c r="PFY4" s="79"/>
      <c r="PFZ4" s="80"/>
      <c r="PGA4" s="80"/>
      <c r="PGB4" s="80"/>
      <c r="PGC4" s="79"/>
      <c r="PGD4" s="80"/>
      <c r="PGE4" s="80"/>
      <c r="PGF4" s="80"/>
      <c r="PGG4" s="79"/>
      <c r="PGH4" s="80"/>
      <c r="PGI4" s="80"/>
      <c r="PGJ4" s="80"/>
      <c r="PGK4" s="79"/>
      <c r="PGL4" s="80"/>
      <c r="PGM4" s="80"/>
      <c r="PGN4" s="80"/>
      <c r="PGO4" s="79"/>
      <c r="PGP4" s="80"/>
      <c r="PGQ4" s="80"/>
      <c r="PGR4" s="80"/>
      <c r="PGS4" s="79"/>
      <c r="PGT4" s="80"/>
      <c r="PGU4" s="80"/>
      <c r="PGV4" s="80"/>
      <c r="PGW4" s="79"/>
      <c r="PGX4" s="80"/>
      <c r="PGY4" s="80"/>
      <c r="PGZ4" s="80"/>
      <c r="PHA4" s="79"/>
      <c r="PHB4" s="80"/>
      <c r="PHC4" s="80"/>
      <c r="PHD4" s="80"/>
      <c r="PHE4" s="79"/>
      <c r="PHF4" s="80"/>
      <c r="PHG4" s="80"/>
      <c r="PHH4" s="80"/>
      <c r="PHI4" s="79"/>
      <c r="PHJ4" s="80"/>
      <c r="PHK4" s="80"/>
      <c r="PHL4" s="80"/>
      <c r="PHM4" s="79"/>
      <c r="PHN4" s="80"/>
      <c r="PHO4" s="80"/>
      <c r="PHP4" s="80"/>
      <c r="PHQ4" s="79"/>
      <c r="PHR4" s="80"/>
      <c r="PHS4" s="80"/>
      <c r="PHT4" s="80"/>
      <c r="PHU4" s="79"/>
      <c r="PHV4" s="80"/>
      <c r="PHW4" s="80"/>
      <c r="PHX4" s="80"/>
      <c r="PHY4" s="79"/>
      <c r="PHZ4" s="80"/>
      <c r="PIA4" s="80"/>
      <c r="PIB4" s="80"/>
      <c r="PIC4" s="79"/>
      <c r="PID4" s="80"/>
      <c r="PIE4" s="80"/>
      <c r="PIF4" s="80"/>
      <c r="PIG4" s="79"/>
      <c r="PIH4" s="80"/>
      <c r="PII4" s="80"/>
      <c r="PIJ4" s="80"/>
      <c r="PIK4" s="79"/>
      <c r="PIL4" s="80"/>
      <c r="PIM4" s="80"/>
      <c r="PIN4" s="80"/>
      <c r="PIO4" s="79"/>
      <c r="PIP4" s="80"/>
      <c r="PIQ4" s="80"/>
      <c r="PIR4" s="80"/>
      <c r="PIS4" s="79"/>
      <c r="PIT4" s="80"/>
      <c r="PIU4" s="80"/>
      <c r="PIV4" s="80"/>
      <c r="PIW4" s="79"/>
      <c r="PIX4" s="80"/>
      <c r="PIY4" s="80"/>
      <c r="PIZ4" s="80"/>
      <c r="PJA4" s="79"/>
      <c r="PJB4" s="80"/>
      <c r="PJC4" s="80"/>
      <c r="PJD4" s="80"/>
      <c r="PJE4" s="79"/>
      <c r="PJF4" s="80"/>
      <c r="PJG4" s="80"/>
      <c r="PJH4" s="80"/>
      <c r="PJI4" s="79"/>
      <c r="PJJ4" s="80"/>
      <c r="PJK4" s="80"/>
      <c r="PJL4" s="80"/>
      <c r="PJM4" s="79"/>
      <c r="PJN4" s="80"/>
      <c r="PJO4" s="80"/>
      <c r="PJP4" s="80"/>
      <c r="PJQ4" s="79"/>
      <c r="PJR4" s="80"/>
      <c r="PJS4" s="80"/>
      <c r="PJT4" s="80"/>
      <c r="PJU4" s="79"/>
      <c r="PJV4" s="80"/>
      <c r="PJW4" s="80"/>
      <c r="PJX4" s="80"/>
      <c r="PJY4" s="79"/>
      <c r="PJZ4" s="80"/>
      <c r="PKA4" s="80"/>
      <c r="PKB4" s="80"/>
      <c r="PKC4" s="79"/>
      <c r="PKD4" s="80"/>
      <c r="PKE4" s="80"/>
      <c r="PKF4" s="80"/>
      <c r="PKG4" s="79"/>
      <c r="PKH4" s="80"/>
      <c r="PKI4" s="80"/>
      <c r="PKJ4" s="80"/>
      <c r="PKK4" s="79"/>
      <c r="PKL4" s="80"/>
      <c r="PKM4" s="80"/>
      <c r="PKN4" s="80"/>
      <c r="PKO4" s="79"/>
      <c r="PKP4" s="80"/>
      <c r="PKQ4" s="80"/>
      <c r="PKR4" s="80"/>
      <c r="PKS4" s="79"/>
      <c r="PKT4" s="80"/>
      <c r="PKU4" s="80"/>
      <c r="PKV4" s="80"/>
      <c r="PKW4" s="79"/>
      <c r="PKX4" s="80"/>
      <c r="PKY4" s="80"/>
      <c r="PKZ4" s="80"/>
      <c r="PLA4" s="79"/>
      <c r="PLB4" s="80"/>
      <c r="PLC4" s="80"/>
      <c r="PLD4" s="80"/>
      <c r="PLE4" s="79"/>
      <c r="PLF4" s="80"/>
      <c r="PLG4" s="80"/>
      <c r="PLH4" s="80"/>
      <c r="PLI4" s="79"/>
      <c r="PLJ4" s="80"/>
      <c r="PLK4" s="80"/>
      <c r="PLL4" s="80"/>
      <c r="PLM4" s="79"/>
      <c r="PLN4" s="80"/>
      <c r="PLO4" s="80"/>
      <c r="PLP4" s="80"/>
      <c r="PLQ4" s="79"/>
      <c r="PLR4" s="80"/>
      <c r="PLS4" s="80"/>
      <c r="PLT4" s="80"/>
      <c r="PLU4" s="79"/>
      <c r="PLV4" s="80"/>
      <c r="PLW4" s="80"/>
      <c r="PLX4" s="80"/>
      <c r="PLY4" s="79"/>
      <c r="PLZ4" s="80"/>
      <c r="PMA4" s="80"/>
      <c r="PMB4" s="80"/>
      <c r="PMC4" s="79"/>
      <c r="PMD4" s="80"/>
      <c r="PME4" s="80"/>
      <c r="PMF4" s="80"/>
      <c r="PMG4" s="79"/>
      <c r="PMH4" s="80"/>
      <c r="PMI4" s="80"/>
      <c r="PMJ4" s="80"/>
      <c r="PMK4" s="79"/>
      <c r="PML4" s="80"/>
      <c r="PMM4" s="80"/>
      <c r="PMN4" s="80"/>
      <c r="PMO4" s="79"/>
      <c r="PMP4" s="80"/>
      <c r="PMQ4" s="80"/>
      <c r="PMR4" s="80"/>
      <c r="PMS4" s="79"/>
      <c r="PMT4" s="80"/>
      <c r="PMU4" s="80"/>
      <c r="PMV4" s="80"/>
      <c r="PMW4" s="79"/>
      <c r="PMX4" s="80"/>
      <c r="PMY4" s="80"/>
      <c r="PMZ4" s="80"/>
      <c r="PNA4" s="79"/>
      <c r="PNB4" s="80"/>
      <c r="PNC4" s="80"/>
      <c r="PND4" s="80"/>
      <c r="PNE4" s="79"/>
      <c r="PNF4" s="80"/>
      <c r="PNG4" s="80"/>
      <c r="PNH4" s="80"/>
      <c r="PNI4" s="79"/>
      <c r="PNJ4" s="80"/>
      <c r="PNK4" s="80"/>
      <c r="PNL4" s="80"/>
      <c r="PNM4" s="79"/>
      <c r="PNN4" s="80"/>
      <c r="PNO4" s="80"/>
      <c r="PNP4" s="80"/>
      <c r="PNQ4" s="79"/>
      <c r="PNR4" s="80"/>
      <c r="PNS4" s="80"/>
      <c r="PNT4" s="80"/>
      <c r="PNU4" s="79"/>
      <c r="PNV4" s="80"/>
      <c r="PNW4" s="80"/>
      <c r="PNX4" s="80"/>
      <c r="PNY4" s="79"/>
      <c r="PNZ4" s="80"/>
      <c r="POA4" s="80"/>
      <c r="POB4" s="80"/>
      <c r="POC4" s="79"/>
      <c r="POD4" s="80"/>
      <c r="POE4" s="80"/>
      <c r="POF4" s="80"/>
      <c r="POG4" s="79"/>
      <c r="POH4" s="80"/>
      <c r="POI4" s="80"/>
      <c r="POJ4" s="80"/>
      <c r="POK4" s="79"/>
      <c r="POL4" s="80"/>
      <c r="POM4" s="80"/>
      <c r="PON4" s="80"/>
      <c r="POO4" s="79"/>
      <c r="POP4" s="80"/>
      <c r="POQ4" s="80"/>
      <c r="POR4" s="80"/>
      <c r="POS4" s="79"/>
      <c r="POT4" s="80"/>
      <c r="POU4" s="80"/>
      <c r="POV4" s="80"/>
      <c r="POW4" s="79"/>
      <c r="POX4" s="80"/>
      <c r="POY4" s="80"/>
      <c r="POZ4" s="80"/>
      <c r="PPA4" s="79"/>
      <c r="PPB4" s="80"/>
      <c r="PPC4" s="80"/>
      <c r="PPD4" s="80"/>
      <c r="PPE4" s="79"/>
      <c r="PPF4" s="80"/>
      <c r="PPG4" s="80"/>
      <c r="PPH4" s="80"/>
      <c r="PPI4" s="79"/>
      <c r="PPJ4" s="80"/>
      <c r="PPK4" s="80"/>
      <c r="PPL4" s="80"/>
      <c r="PPM4" s="79"/>
      <c r="PPN4" s="80"/>
      <c r="PPO4" s="80"/>
      <c r="PPP4" s="80"/>
      <c r="PPQ4" s="79"/>
      <c r="PPR4" s="80"/>
      <c r="PPS4" s="80"/>
      <c r="PPT4" s="80"/>
      <c r="PPU4" s="79"/>
      <c r="PPV4" s="80"/>
      <c r="PPW4" s="80"/>
      <c r="PPX4" s="80"/>
      <c r="PPY4" s="79"/>
      <c r="PPZ4" s="80"/>
      <c r="PQA4" s="80"/>
      <c r="PQB4" s="80"/>
      <c r="PQC4" s="79"/>
      <c r="PQD4" s="80"/>
      <c r="PQE4" s="80"/>
      <c r="PQF4" s="80"/>
      <c r="PQG4" s="79"/>
      <c r="PQH4" s="80"/>
      <c r="PQI4" s="80"/>
      <c r="PQJ4" s="80"/>
      <c r="PQK4" s="79"/>
      <c r="PQL4" s="80"/>
      <c r="PQM4" s="80"/>
      <c r="PQN4" s="80"/>
      <c r="PQO4" s="79"/>
      <c r="PQP4" s="80"/>
      <c r="PQQ4" s="80"/>
      <c r="PQR4" s="80"/>
      <c r="PQS4" s="79"/>
      <c r="PQT4" s="80"/>
      <c r="PQU4" s="80"/>
      <c r="PQV4" s="80"/>
      <c r="PQW4" s="79"/>
      <c r="PQX4" s="80"/>
      <c r="PQY4" s="80"/>
      <c r="PQZ4" s="80"/>
      <c r="PRA4" s="79"/>
      <c r="PRB4" s="80"/>
      <c r="PRC4" s="80"/>
      <c r="PRD4" s="80"/>
      <c r="PRE4" s="79"/>
      <c r="PRF4" s="80"/>
      <c r="PRG4" s="80"/>
      <c r="PRH4" s="80"/>
      <c r="PRI4" s="79"/>
      <c r="PRJ4" s="80"/>
      <c r="PRK4" s="80"/>
      <c r="PRL4" s="80"/>
      <c r="PRM4" s="79"/>
      <c r="PRN4" s="80"/>
      <c r="PRO4" s="80"/>
      <c r="PRP4" s="80"/>
      <c r="PRQ4" s="79"/>
      <c r="PRR4" s="80"/>
      <c r="PRS4" s="80"/>
      <c r="PRT4" s="80"/>
      <c r="PRU4" s="79"/>
      <c r="PRV4" s="80"/>
      <c r="PRW4" s="80"/>
      <c r="PRX4" s="80"/>
      <c r="PRY4" s="79"/>
      <c r="PRZ4" s="80"/>
      <c r="PSA4" s="80"/>
      <c r="PSB4" s="80"/>
      <c r="PSC4" s="79"/>
      <c r="PSD4" s="80"/>
      <c r="PSE4" s="80"/>
      <c r="PSF4" s="80"/>
      <c r="PSG4" s="79"/>
      <c r="PSH4" s="80"/>
      <c r="PSI4" s="80"/>
      <c r="PSJ4" s="80"/>
      <c r="PSK4" s="79"/>
      <c r="PSL4" s="80"/>
      <c r="PSM4" s="80"/>
      <c r="PSN4" s="80"/>
      <c r="PSO4" s="79"/>
      <c r="PSP4" s="80"/>
      <c r="PSQ4" s="80"/>
      <c r="PSR4" s="80"/>
      <c r="PSS4" s="79"/>
      <c r="PST4" s="80"/>
      <c r="PSU4" s="80"/>
      <c r="PSV4" s="80"/>
      <c r="PSW4" s="79"/>
      <c r="PSX4" s="80"/>
      <c r="PSY4" s="80"/>
      <c r="PSZ4" s="80"/>
      <c r="PTA4" s="79"/>
      <c r="PTB4" s="80"/>
      <c r="PTC4" s="80"/>
      <c r="PTD4" s="80"/>
      <c r="PTE4" s="79"/>
      <c r="PTF4" s="80"/>
      <c r="PTG4" s="80"/>
      <c r="PTH4" s="80"/>
      <c r="PTI4" s="79"/>
      <c r="PTJ4" s="80"/>
      <c r="PTK4" s="80"/>
      <c r="PTL4" s="80"/>
      <c r="PTM4" s="79"/>
      <c r="PTN4" s="80"/>
      <c r="PTO4" s="80"/>
      <c r="PTP4" s="80"/>
      <c r="PTQ4" s="79"/>
      <c r="PTR4" s="80"/>
      <c r="PTS4" s="80"/>
      <c r="PTT4" s="80"/>
      <c r="PTU4" s="79"/>
      <c r="PTV4" s="80"/>
      <c r="PTW4" s="80"/>
      <c r="PTX4" s="80"/>
      <c r="PTY4" s="79"/>
      <c r="PTZ4" s="80"/>
      <c r="PUA4" s="80"/>
      <c r="PUB4" s="80"/>
      <c r="PUC4" s="79"/>
      <c r="PUD4" s="80"/>
      <c r="PUE4" s="80"/>
      <c r="PUF4" s="80"/>
      <c r="PUG4" s="79"/>
      <c r="PUH4" s="80"/>
      <c r="PUI4" s="80"/>
      <c r="PUJ4" s="80"/>
      <c r="PUK4" s="79"/>
      <c r="PUL4" s="80"/>
      <c r="PUM4" s="80"/>
      <c r="PUN4" s="80"/>
      <c r="PUO4" s="79"/>
      <c r="PUP4" s="80"/>
      <c r="PUQ4" s="80"/>
      <c r="PUR4" s="80"/>
      <c r="PUS4" s="79"/>
      <c r="PUT4" s="80"/>
      <c r="PUU4" s="80"/>
      <c r="PUV4" s="80"/>
      <c r="PUW4" s="79"/>
      <c r="PUX4" s="80"/>
      <c r="PUY4" s="80"/>
      <c r="PUZ4" s="80"/>
      <c r="PVA4" s="79"/>
      <c r="PVB4" s="80"/>
      <c r="PVC4" s="80"/>
      <c r="PVD4" s="80"/>
      <c r="PVE4" s="79"/>
      <c r="PVF4" s="80"/>
      <c r="PVG4" s="80"/>
      <c r="PVH4" s="80"/>
      <c r="PVI4" s="79"/>
      <c r="PVJ4" s="80"/>
      <c r="PVK4" s="80"/>
      <c r="PVL4" s="80"/>
      <c r="PVM4" s="79"/>
      <c r="PVN4" s="80"/>
      <c r="PVO4" s="80"/>
      <c r="PVP4" s="80"/>
      <c r="PVQ4" s="79"/>
      <c r="PVR4" s="80"/>
      <c r="PVS4" s="80"/>
      <c r="PVT4" s="80"/>
      <c r="PVU4" s="79"/>
      <c r="PVV4" s="80"/>
      <c r="PVW4" s="80"/>
      <c r="PVX4" s="80"/>
      <c r="PVY4" s="79"/>
      <c r="PVZ4" s="80"/>
      <c r="PWA4" s="80"/>
      <c r="PWB4" s="80"/>
      <c r="PWC4" s="79"/>
      <c r="PWD4" s="80"/>
      <c r="PWE4" s="80"/>
      <c r="PWF4" s="80"/>
      <c r="PWG4" s="79"/>
      <c r="PWH4" s="80"/>
      <c r="PWI4" s="80"/>
      <c r="PWJ4" s="80"/>
      <c r="PWK4" s="79"/>
      <c r="PWL4" s="80"/>
      <c r="PWM4" s="80"/>
      <c r="PWN4" s="80"/>
      <c r="PWO4" s="79"/>
      <c r="PWP4" s="80"/>
      <c r="PWQ4" s="80"/>
      <c r="PWR4" s="80"/>
      <c r="PWS4" s="79"/>
      <c r="PWT4" s="80"/>
      <c r="PWU4" s="80"/>
      <c r="PWV4" s="80"/>
      <c r="PWW4" s="79"/>
      <c r="PWX4" s="80"/>
      <c r="PWY4" s="80"/>
      <c r="PWZ4" s="80"/>
      <c r="PXA4" s="79"/>
      <c r="PXB4" s="80"/>
      <c r="PXC4" s="80"/>
      <c r="PXD4" s="80"/>
      <c r="PXE4" s="79"/>
      <c r="PXF4" s="80"/>
      <c r="PXG4" s="80"/>
      <c r="PXH4" s="80"/>
      <c r="PXI4" s="79"/>
      <c r="PXJ4" s="80"/>
      <c r="PXK4" s="80"/>
      <c r="PXL4" s="80"/>
      <c r="PXM4" s="79"/>
      <c r="PXN4" s="80"/>
      <c r="PXO4" s="80"/>
      <c r="PXP4" s="80"/>
      <c r="PXQ4" s="79"/>
      <c r="PXR4" s="80"/>
      <c r="PXS4" s="80"/>
      <c r="PXT4" s="80"/>
      <c r="PXU4" s="79"/>
      <c r="PXV4" s="80"/>
      <c r="PXW4" s="80"/>
      <c r="PXX4" s="80"/>
      <c r="PXY4" s="79"/>
      <c r="PXZ4" s="80"/>
      <c r="PYA4" s="80"/>
      <c r="PYB4" s="80"/>
      <c r="PYC4" s="79"/>
      <c r="PYD4" s="80"/>
      <c r="PYE4" s="80"/>
      <c r="PYF4" s="80"/>
      <c r="PYG4" s="79"/>
      <c r="PYH4" s="80"/>
      <c r="PYI4" s="80"/>
      <c r="PYJ4" s="80"/>
      <c r="PYK4" s="79"/>
      <c r="PYL4" s="80"/>
      <c r="PYM4" s="80"/>
      <c r="PYN4" s="80"/>
      <c r="PYO4" s="79"/>
      <c r="PYP4" s="80"/>
      <c r="PYQ4" s="80"/>
      <c r="PYR4" s="80"/>
      <c r="PYS4" s="79"/>
      <c r="PYT4" s="80"/>
      <c r="PYU4" s="80"/>
      <c r="PYV4" s="80"/>
      <c r="PYW4" s="79"/>
      <c r="PYX4" s="80"/>
      <c r="PYY4" s="80"/>
      <c r="PYZ4" s="80"/>
      <c r="PZA4" s="79"/>
      <c r="PZB4" s="80"/>
      <c r="PZC4" s="80"/>
      <c r="PZD4" s="80"/>
      <c r="PZE4" s="79"/>
      <c r="PZF4" s="80"/>
      <c r="PZG4" s="80"/>
      <c r="PZH4" s="80"/>
      <c r="PZI4" s="79"/>
      <c r="PZJ4" s="80"/>
      <c r="PZK4" s="80"/>
      <c r="PZL4" s="80"/>
      <c r="PZM4" s="79"/>
      <c r="PZN4" s="80"/>
      <c r="PZO4" s="80"/>
      <c r="PZP4" s="80"/>
      <c r="PZQ4" s="79"/>
      <c r="PZR4" s="80"/>
      <c r="PZS4" s="80"/>
      <c r="PZT4" s="80"/>
      <c r="PZU4" s="79"/>
      <c r="PZV4" s="80"/>
      <c r="PZW4" s="80"/>
      <c r="PZX4" s="80"/>
      <c r="PZY4" s="79"/>
      <c r="PZZ4" s="80"/>
      <c r="QAA4" s="80"/>
      <c r="QAB4" s="80"/>
      <c r="QAC4" s="79"/>
      <c r="QAD4" s="80"/>
      <c r="QAE4" s="80"/>
      <c r="QAF4" s="80"/>
      <c r="QAG4" s="79"/>
      <c r="QAH4" s="80"/>
      <c r="QAI4" s="80"/>
      <c r="QAJ4" s="80"/>
      <c r="QAK4" s="79"/>
      <c r="QAL4" s="80"/>
      <c r="QAM4" s="80"/>
      <c r="QAN4" s="80"/>
      <c r="QAO4" s="79"/>
      <c r="QAP4" s="80"/>
      <c r="QAQ4" s="80"/>
      <c r="QAR4" s="80"/>
      <c r="QAS4" s="79"/>
      <c r="QAT4" s="80"/>
      <c r="QAU4" s="80"/>
      <c r="QAV4" s="80"/>
      <c r="QAW4" s="79"/>
      <c r="QAX4" s="80"/>
      <c r="QAY4" s="80"/>
      <c r="QAZ4" s="80"/>
      <c r="QBA4" s="79"/>
      <c r="QBB4" s="80"/>
      <c r="QBC4" s="80"/>
      <c r="QBD4" s="80"/>
      <c r="QBE4" s="79"/>
      <c r="QBF4" s="80"/>
      <c r="QBG4" s="80"/>
      <c r="QBH4" s="80"/>
      <c r="QBI4" s="79"/>
      <c r="QBJ4" s="80"/>
      <c r="QBK4" s="80"/>
      <c r="QBL4" s="80"/>
      <c r="QBM4" s="79"/>
      <c r="QBN4" s="80"/>
      <c r="QBO4" s="80"/>
      <c r="QBP4" s="80"/>
      <c r="QBQ4" s="79"/>
      <c r="QBR4" s="80"/>
      <c r="QBS4" s="80"/>
      <c r="QBT4" s="80"/>
      <c r="QBU4" s="79"/>
      <c r="QBV4" s="80"/>
      <c r="QBW4" s="80"/>
      <c r="QBX4" s="80"/>
      <c r="QBY4" s="79"/>
      <c r="QBZ4" s="80"/>
      <c r="QCA4" s="80"/>
      <c r="QCB4" s="80"/>
      <c r="QCC4" s="79"/>
      <c r="QCD4" s="80"/>
      <c r="QCE4" s="80"/>
      <c r="QCF4" s="80"/>
      <c r="QCG4" s="79"/>
      <c r="QCH4" s="80"/>
      <c r="QCI4" s="80"/>
      <c r="QCJ4" s="80"/>
      <c r="QCK4" s="79"/>
      <c r="QCL4" s="80"/>
      <c r="QCM4" s="80"/>
      <c r="QCN4" s="80"/>
      <c r="QCO4" s="79"/>
      <c r="QCP4" s="80"/>
      <c r="QCQ4" s="80"/>
      <c r="QCR4" s="80"/>
      <c r="QCS4" s="79"/>
      <c r="QCT4" s="80"/>
      <c r="QCU4" s="80"/>
      <c r="QCV4" s="80"/>
      <c r="QCW4" s="79"/>
      <c r="QCX4" s="80"/>
      <c r="QCY4" s="80"/>
      <c r="QCZ4" s="80"/>
      <c r="QDA4" s="79"/>
      <c r="QDB4" s="80"/>
      <c r="QDC4" s="80"/>
      <c r="QDD4" s="80"/>
      <c r="QDE4" s="79"/>
      <c r="QDF4" s="80"/>
      <c r="QDG4" s="80"/>
      <c r="QDH4" s="80"/>
      <c r="QDI4" s="79"/>
      <c r="QDJ4" s="80"/>
      <c r="QDK4" s="80"/>
      <c r="QDL4" s="80"/>
      <c r="QDM4" s="79"/>
      <c r="QDN4" s="80"/>
      <c r="QDO4" s="80"/>
      <c r="QDP4" s="80"/>
      <c r="QDQ4" s="79"/>
      <c r="QDR4" s="80"/>
      <c r="QDS4" s="80"/>
      <c r="QDT4" s="80"/>
      <c r="QDU4" s="79"/>
      <c r="QDV4" s="80"/>
      <c r="QDW4" s="80"/>
      <c r="QDX4" s="80"/>
      <c r="QDY4" s="79"/>
      <c r="QDZ4" s="80"/>
      <c r="QEA4" s="80"/>
      <c r="QEB4" s="80"/>
      <c r="QEC4" s="79"/>
      <c r="QED4" s="80"/>
      <c r="QEE4" s="80"/>
      <c r="QEF4" s="80"/>
      <c r="QEG4" s="79"/>
      <c r="QEH4" s="80"/>
      <c r="QEI4" s="80"/>
      <c r="QEJ4" s="80"/>
      <c r="QEK4" s="79"/>
      <c r="QEL4" s="80"/>
      <c r="QEM4" s="80"/>
      <c r="QEN4" s="80"/>
      <c r="QEO4" s="79"/>
      <c r="QEP4" s="80"/>
      <c r="QEQ4" s="80"/>
      <c r="QER4" s="80"/>
      <c r="QES4" s="79"/>
      <c r="QET4" s="80"/>
      <c r="QEU4" s="80"/>
      <c r="QEV4" s="80"/>
      <c r="QEW4" s="79"/>
      <c r="QEX4" s="80"/>
      <c r="QEY4" s="80"/>
      <c r="QEZ4" s="80"/>
      <c r="QFA4" s="79"/>
      <c r="QFB4" s="80"/>
      <c r="QFC4" s="80"/>
      <c r="QFD4" s="80"/>
      <c r="QFE4" s="79"/>
      <c r="QFF4" s="80"/>
      <c r="QFG4" s="80"/>
      <c r="QFH4" s="80"/>
      <c r="QFI4" s="79"/>
      <c r="QFJ4" s="80"/>
      <c r="QFK4" s="80"/>
      <c r="QFL4" s="80"/>
      <c r="QFM4" s="79"/>
      <c r="QFN4" s="80"/>
      <c r="QFO4" s="80"/>
      <c r="QFP4" s="80"/>
      <c r="QFQ4" s="79"/>
      <c r="QFR4" s="80"/>
      <c r="QFS4" s="80"/>
      <c r="QFT4" s="80"/>
      <c r="QFU4" s="79"/>
      <c r="QFV4" s="80"/>
      <c r="QFW4" s="80"/>
      <c r="QFX4" s="80"/>
      <c r="QFY4" s="79"/>
      <c r="QFZ4" s="80"/>
      <c r="QGA4" s="80"/>
      <c r="QGB4" s="80"/>
      <c r="QGC4" s="79"/>
      <c r="QGD4" s="80"/>
      <c r="QGE4" s="80"/>
      <c r="QGF4" s="80"/>
      <c r="QGG4" s="79"/>
      <c r="QGH4" s="80"/>
      <c r="QGI4" s="80"/>
      <c r="QGJ4" s="80"/>
      <c r="QGK4" s="79"/>
      <c r="QGL4" s="80"/>
      <c r="QGM4" s="80"/>
      <c r="QGN4" s="80"/>
      <c r="QGO4" s="79"/>
      <c r="QGP4" s="80"/>
      <c r="QGQ4" s="80"/>
      <c r="QGR4" s="80"/>
      <c r="QGS4" s="79"/>
      <c r="QGT4" s="80"/>
      <c r="QGU4" s="80"/>
      <c r="QGV4" s="80"/>
      <c r="QGW4" s="79"/>
      <c r="QGX4" s="80"/>
      <c r="QGY4" s="80"/>
      <c r="QGZ4" s="80"/>
      <c r="QHA4" s="79"/>
      <c r="QHB4" s="80"/>
      <c r="QHC4" s="80"/>
      <c r="QHD4" s="80"/>
      <c r="QHE4" s="79"/>
      <c r="QHF4" s="80"/>
      <c r="QHG4" s="80"/>
      <c r="QHH4" s="80"/>
      <c r="QHI4" s="79"/>
      <c r="QHJ4" s="80"/>
      <c r="QHK4" s="80"/>
      <c r="QHL4" s="80"/>
      <c r="QHM4" s="79"/>
      <c r="QHN4" s="80"/>
      <c r="QHO4" s="80"/>
      <c r="QHP4" s="80"/>
      <c r="QHQ4" s="79"/>
      <c r="QHR4" s="80"/>
      <c r="QHS4" s="80"/>
      <c r="QHT4" s="80"/>
      <c r="QHU4" s="79"/>
      <c r="QHV4" s="80"/>
      <c r="QHW4" s="80"/>
      <c r="QHX4" s="80"/>
      <c r="QHY4" s="79"/>
      <c r="QHZ4" s="80"/>
      <c r="QIA4" s="80"/>
      <c r="QIB4" s="80"/>
      <c r="QIC4" s="79"/>
      <c r="QID4" s="80"/>
      <c r="QIE4" s="80"/>
      <c r="QIF4" s="80"/>
      <c r="QIG4" s="79"/>
      <c r="QIH4" s="80"/>
      <c r="QII4" s="80"/>
      <c r="QIJ4" s="80"/>
      <c r="QIK4" s="79"/>
      <c r="QIL4" s="80"/>
      <c r="QIM4" s="80"/>
      <c r="QIN4" s="80"/>
      <c r="QIO4" s="79"/>
      <c r="QIP4" s="80"/>
      <c r="QIQ4" s="80"/>
      <c r="QIR4" s="80"/>
      <c r="QIS4" s="79"/>
      <c r="QIT4" s="80"/>
      <c r="QIU4" s="80"/>
      <c r="QIV4" s="80"/>
      <c r="QIW4" s="79"/>
      <c r="QIX4" s="80"/>
      <c r="QIY4" s="80"/>
      <c r="QIZ4" s="80"/>
      <c r="QJA4" s="79"/>
      <c r="QJB4" s="80"/>
      <c r="QJC4" s="80"/>
      <c r="QJD4" s="80"/>
      <c r="QJE4" s="79"/>
      <c r="QJF4" s="80"/>
      <c r="QJG4" s="80"/>
      <c r="QJH4" s="80"/>
      <c r="QJI4" s="79"/>
      <c r="QJJ4" s="80"/>
      <c r="QJK4" s="80"/>
      <c r="QJL4" s="80"/>
      <c r="QJM4" s="79"/>
      <c r="QJN4" s="80"/>
      <c r="QJO4" s="80"/>
      <c r="QJP4" s="80"/>
      <c r="QJQ4" s="79"/>
      <c r="QJR4" s="80"/>
      <c r="QJS4" s="80"/>
      <c r="QJT4" s="80"/>
      <c r="QJU4" s="79"/>
      <c r="QJV4" s="80"/>
      <c r="QJW4" s="80"/>
      <c r="QJX4" s="80"/>
      <c r="QJY4" s="79"/>
      <c r="QJZ4" s="80"/>
      <c r="QKA4" s="80"/>
      <c r="QKB4" s="80"/>
      <c r="QKC4" s="79"/>
      <c r="QKD4" s="80"/>
      <c r="QKE4" s="80"/>
      <c r="QKF4" s="80"/>
      <c r="QKG4" s="79"/>
      <c r="QKH4" s="80"/>
      <c r="QKI4" s="80"/>
      <c r="QKJ4" s="80"/>
      <c r="QKK4" s="79"/>
      <c r="QKL4" s="80"/>
      <c r="QKM4" s="80"/>
      <c r="QKN4" s="80"/>
      <c r="QKO4" s="79"/>
      <c r="QKP4" s="80"/>
      <c r="QKQ4" s="80"/>
      <c r="QKR4" s="80"/>
      <c r="QKS4" s="79"/>
      <c r="QKT4" s="80"/>
      <c r="QKU4" s="80"/>
      <c r="QKV4" s="80"/>
      <c r="QKW4" s="79"/>
      <c r="QKX4" s="80"/>
      <c r="QKY4" s="80"/>
      <c r="QKZ4" s="80"/>
      <c r="QLA4" s="79"/>
      <c r="QLB4" s="80"/>
      <c r="QLC4" s="80"/>
      <c r="QLD4" s="80"/>
      <c r="QLE4" s="79"/>
      <c r="QLF4" s="80"/>
      <c r="QLG4" s="80"/>
      <c r="QLH4" s="80"/>
      <c r="QLI4" s="79"/>
      <c r="QLJ4" s="80"/>
      <c r="QLK4" s="80"/>
      <c r="QLL4" s="80"/>
      <c r="QLM4" s="79"/>
      <c r="QLN4" s="80"/>
      <c r="QLO4" s="80"/>
      <c r="QLP4" s="80"/>
      <c r="QLQ4" s="79"/>
      <c r="QLR4" s="80"/>
      <c r="QLS4" s="80"/>
      <c r="QLT4" s="80"/>
      <c r="QLU4" s="79"/>
      <c r="QLV4" s="80"/>
      <c r="QLW4" s="80"/>
      <c r="QLX4" s="80"/>
      <c r="QLY4" s="79"/>
      <c r="QLZ4" s="80"/>
      <c r="QMA4" s="80"/>
      <c r="QMB4" s="80"/>
      <c r="QMC4" s="79"/>
      <c r="QMD4" s="80"/>
      <c r="QME4" s="80"/>
      <c r="QMF4" s="80"/>
      <c r="QMG4" s="79"/>
      <c r="QMH4" s="80"/>
      <c r="QMI4" s="80"/>
      <c r="QMJ4" s="80"/>
      <c r="QMK4" s="79"/>
      <c r="QML4" s="80"/>
      <c r="QMM4" s="80"/>
      <c r="QMN4" s="80"/>
      <c r="QMO4" s="79"/>
      <c r="QMP4" s="80"/>
      <c r="QMQ4" s="80"/>
      <c r="QMR4" s="80"/>
      <c r="QMS4" s="79"/>
      <c r="QMT4" s="80"/>
      <c r="QMU4" s="80"/>
      <c r="QMV4" s="80"/>
      <c r="QMW4" s="79"/>
      <c r="QMX4" s="80"/>
      <c r="QMY4" s="80"/>
      <c r="QMZ4" s="80"/>
      <c r="QNA4" s="79"/>
      <c r="QNB4" s="80"/>
      <c r="QNC4" s="80"/>
      <c r="QND4" s="80"/>
      <c r="QNE4" s="79"/>
      <c r="QNF4" s="80"/>
      <c r="QNG4" s="80"/>
      <c r="QNH4" s="80"/>
      <c r="QNI4" s="79"/>
      <c r="QNJ4" s="80"/>
      <c r="QNK4" s="80"/>
      <c r="QNL4" s="80"/>
      <c r="QNM4" s="79"/>
      <c r="QNN4" s="80"/>
      <c r="QNO4" s="80"/>
      <c r="QNP4" s="80"/>
      <c r="QNQ4" s="79"/>
      <c r="QNR4" s="80"/>
      <c r="QNS4" s="80"/>
      <c r="QNT4" s="80"/>
      <c r="QNU4" s="79"/>
      <c r="QNV4" s="80"/>
      <c r="QNW4" s="80"/>
      <c r="QNX4" s="80"/>
      <c r="QNY4" s="79"/>
      <c r="QNZ4" s="80"/>
      <c r="QOA4" s="80"/>
      <c r="QOB4" s="80"/>
      <c r="QOC4" s="79"/>
      <c r="QOD4" s="80"/>
      <c r="QOE4" s="80"/>
      <c r="QOF4" s="80"/>
      <c r="QOG4" s="79"/>
      <c r="QOH4" s="80"/>
      <c r="QOI4" s="80"/>
      <c r="QOJ4" s="80"/>
      <c r="QOK4" s="79"/>
      <c r="QOL4" s="80"/>
      <c r="QOM4" s="80"/>
      <c r="QON4" s="80"/>
      <c r="QOO4" s="79"/>
      <c r="QOP4" s="80"/>
      <c r="QOQ4" s="80"/>
      <c r="QOR4" s="80"/>
      <c r="QOS4" s="79"/>
      <c r="QOT4" s="80"/>
      <c r="QOU4" s="80"/>
      <c r="QOV4" s="80"/>
      <c r="QOW4" s="79"/>
      <c r="QOX4" s="80"/>
      <c r="QOY4" s="80"/>
      <c r="QOZ4" s="80"/>
      <c r="QPA4" s="79"/>
      <c r="QPB4" s="80"/>
      <c r="QPC4" s="80"/>
      <c r="QPD4" s="80"/>
      <c r="QPE4" s="79"/>
      <c r="QPF4" s="80"/>
      <c r="QPG4" s="80"/>
      <c r="QPH4" s="80"/>
      <c r="QPI4" s="79"/>
      <c r="QPJ4" s="80"/>
      <c r="QPK4" s="80"/>
      <c r="QPL4" s="80"/>
      <c r="QPM4" s="79"/>
      <c r="QPN4" s="80"/>
      <c r="QPO4" s="80"/>
      <c r="QPP4" s="80"/>
      <c r="QPQ4" s="79"/>
      <c r="QPR4" s="80"/>
      <c r="QPS4" s="80"/>
      <c r="QPT4" s="80"/>
      <c r="QPU4" s="79"/>
      <c r="QPV4" s="80"/>
      <c r="QPW4" s="80"/>
      <c r="QPX4" s="80"/>
      <c r="QPY4" s="79"/>
      <c r="QPZ4" s="80"/>
      <c r="QQA4" s="80"/>
      <c r="QQB4" s="80"/>
      <c r="QQC4" s="79"/>
      <c r="QQD4" s="80"/>
      <c r="QQE4" s="80"/>
      <c r="QQF4" s="80"/>
      <c r="QQG4" s="79"/>
      <c r="QQH4" s="80"/>
      <c r="QQI4" s="80"/>
      <c r="QQJ4" s="80"/>
      <c r="QQK4" s="79"/>
      <c r="QQL4" s="80"/>
      <c r="QQM4" s="80"/>
      <c r="QQN4" s="80"/>
      <c r="QQO4" s="79"/>
      <c r="QQP4" s="80"/>
      <c r="QQQ4" s="80"/>
      <c r="QQR4" s="80"/>
      <c r="QQS4" s="79"/>
      <c r="QQT4" s="80"/>
      <c r="QQU4" s="80"/>
      <c r="QQV4" s="80"/>
      <c r="QQW4" s="79"/>
      <c r="QQX4" s="80"/>
      <c r="QQY4" s="80"/>
      <c r="QQZ4" s="80"/>
      <c r="QRA4" s="79"/>
      <c r="QRB4" s="80"/>
      <c r="QRC4" s="80"/>
      <c r="QRD4" s="80"/>
      <c r="QRE4" s="79"/>
      <c r="QRF4" s="80"/>
      <c r="QRG4" s="80"/>
      <c r="QRH4" s="80"/>
      <c r="QRI4" s="79"/>
      <c r="QRJ4" s="80"/>
      <c r="QRK4" s="80"/>
      <c r="QRL4" s="80"/>
      <c r="QRM4" s="79"/>
      <c r="QRN4" s="80"/>
      <c r="QRO4" s="80"/>
      <c r="QRP4" s="80"/>
      <c r="QRQ4" s="79"/>
      <c r="QRR4" s="80"/>
      <c r="QRS4" s="80"/>
      <c r="QRT4" s="80"/>
      <c r="QRU4" s="79"/>
      <c r="QRV4" s="80"/>
      <c r="QRW4" s="80"/>
      <c r="QRX4" s="80"/>
      <c r="QRY4" s="79"/>
      <c r="QRZ4" s="80"/>
      <c r="QSA4" s="80"/>
      <c r="QSB4" s="80"/>
      <c r="QSC4" s="79"/>
      <c r="QSD4" s="80"/>
      <c r="QSE4" s="80"/>
      <c r="QSF4" s="80"/>
      <c r="QSG4" s="79"/>
      <c r="QSH4" s="80"/>
      <c r="QSI4" s="80"/>
      <c r="QSJ4" s="80"/>
      <c r="QSK4" s="79"/>
      <c r="QSL4" s="80"/>
      <c r="QSM4" s="80"/>
      <c r="QSN4" s="80"/>
      <c r="QSO4" s="79"/>
      <c r="QSP4" s="80"/>
      <c r="QSQ4" s="80"/>
      <c r="QSR4" s="80"/>
      <c r="QSS4" s="79"/>
      <c r="QST4" s="80"/>
      <c r="QSU4" s="80"/>
      <c r="QSV4" s="80"/>
      <c r="QSW4" s="79"/>
      <c r="QSX4" s="80"/>
      <c r="QSY4" s="80"/>
      <c r="QSZ4" s="80"/>
      <c r="QTA4" s="79"/>
      <c r="QTB4" s="80"/>
      <c r="QTC4" s="80"/>
      <c r="QTD4" s="80"/>
      <c r="QTE4" s="79"/>
      <c r="QTF4" s="80"/>
      <c r="QTG4" s="80"/>
      <c r="QTH4" s="80"/>
      <c r="QTI4" s="79"/>
      <c r="QTJ4" s="80"/>
      <c r="QTK4" s="80"/>
      <c r="QTL4" s="80"/>
      <c r="QTM4" s="79"/>
      <c r="QTN4" s="80"/>
      <c r="QTO4" s="80"/>
      <c r="QTP4" s="80"/>
      <c r="QTQ4" s="79"/>
      <c r="QTR4" s="80"/>
      <c r="QTS4" s="80"/>
      <c r="QTT4" s="80"/>
      <c r="QTU4" s="79"/>
      <c r="QTV4" s="80"/>
      <c r="QTW4" s="80"/>
      <c r="QTX4" s="80"/>
      <c r="QTY4" s="79"/>
      <c r="QTZ4" s="80"/>
      <c r="QUA4" s="80"/>
      <c r="QUB4" s="80"/>
      <c r="QUC4" s="79"/>
      <c r="QUD4" s="80"/>
      <c r="QUE4" s="80"/>
      <c r="QUF4" s="80"/>
      <c r="QUG4" s="79"/>
      <c r="QUH4" s="80"/>
      <c r="QUI4" s="80"/>
      <c r="QUJ4" s="80"/>
      <c r="QUK4" s="79"/>
      <c r="QUL4" s="80"/>
      <c r="QUM4" s="80"/>
      <c r="QUN4" s="80"/>
      <c r="QUO4" s="79"/>
      <c r="QUP4" s="80"/>
      <c r="QUQ4" s="80"/>
      <c r="QUR4" s="80"/>
      <c r="QUS4" s="79"/>
      <c r="QUT4" s="80"/>
      <c r="QUU4" s="80"/>
      <c r="QUV4" s="80"/>
      <c r="QUW4" s="79"/>
      <c r="QUX4" s="80"/>
      <c r="QUY4" s="80"/>
      <c r="QUZ4" s="80"/>
      <c r="QVA4" s="79"/>
      <c r="QVB4" s="80"/>
      <c r="QVC4" s="80"/>
      <c r="QVD4" s="80"/>
      <c r="QVE4" s="79"/>
      <c r="QVF4" s="80"/>
      <c r="QVG4" s="80"/>
      <c r="QVH4" s="80"/>
      <c r="QVI4" s="79"/>
      <c r="QVJ4" s="80"/>
      <c r="QVK4" s="80"/>
      <c r="QVL4" s="80"/>
      <c r="QVM4" s="79"/>
      <c r="QVN4" s="80"/>
      <c r="QVO4" s="80"/>
      <c r="QVP4" s="80"/>
      <c r="QVQ4" s="79"/>
      <c r="QVR4" s="80"/>
      <c r="QVS4" s="80"/>
      <c r="QVT4" s="80"/>
      <c r="QVU4" s="79"/>
      <c r="QVV4" s="80"/>
      <c r="QVW4" s="80"/>
      <c r="QVX4" s="80"/>
      <c r="QVY4" s="79"/>
      <c r="QVZ4" s="80"/>
      <c r="QWA4" s="80"/>
      <c r="QWB4" s="80"/>
      <c r="QWC4" s="79"/>
      <c r="QWD4" s="80"/>
      <c r="QWE4" s="80"/>
      <c r="QWF4" s="80"/>
      <c r="QWG4" s="79"/>
      <c r="QWH4" s="80"/>
      <c r="QWI4" s="80"/>
      <c r="QWJ4" s="80"/>
      <c r="QWK4" s="79"/>
      <c r="QWL4" s="80"/>
      <c r="QWM4" s="80"/>
      <c r="QWN4" s="80"/>
      <c r="QWO4" s="79"/>
      <c r="QWP4" s="80"/>
      <c r="QWQ4" s="80"/>
      <c r="QWR4" s="80"/>
      <c r="QWS4" s="79"/>
      <c r="QWT4" s="80"/>
      <c r="QWU4" s="80"/>
      <c r="QWV4" s="80"/>
      <c r="QWW4" s="79"/>
      <c r="QWX4" s="80"/>
      <c r="QWY4" s="80"/>
      <c r="QWZ4" s="80"/>
      <c r="QXA4" s="79"/>
      <c r="QXB4" s="80"/>
      <c r="QXC4" s="80"/>
      <c r="QXD4" s="80"/>
      <c r="QXE4" s="79"/>
      <c r="QXF4" s="80"/>
      <c r="QXG4" s="80"/>
      <c r="QXH4" s="80"/>
      <c r="QXI4" s="79"/>
      <c r="QXJ4" s="80"/>
      <c r="QXK4" s="80"/>
      <c r="QXL4" s="80"/>
      <c r="QXM4" s="79"/>
      <c r="QXN4" s="80"/>
      <c r="QXO4" s="80"/>
      <c r="QXP4" s="80"/>
      <c r="QXQ4" s="79"/>
      <c r="QXR4" s="80"/>
      <c r="QXS4" s="80"/>
      <c r="QXT4" s="80"/>
      <c r="QXU4" s="79"/>
      <c r="QXV4" s="80"/>
      <c r="QXW4" s="80"/>
      <c r="QXX4" s="80"/>
      <c r="QXY4" s="79"/>
      <c r="QXZ4" s="80"/>
      <c r="QYA4" s="80"/>
      <c r="QYB4" s="80"/>
      <c r="QYC4" s="79"/>
      <c r="QYD4" s="80"/>
      <c r="QYE4" s="80"/>
      <c r="QYF4" s="80"/>
      <c r="QYG4" s="79"/>
      <c r="QYH4" s="80"/>
      <c r="QYI4" s="80"/>
      <c r="QYJ4" s="80"/>
      <c r="QYK4" s="79"/>
      <c r="QYL4" s="80"/>
      <c r="QYM4" s="80"/>
      <c r="QYN4" s="80"/>
      <c r="QYO4" s="79"/>
      <c r="QYP4" s="80"/>
      <c r="QYQ4" s="80"/>
      <c r="QYR4" s="80"/>
      <c r="QYS4" s="79"/>
      <c r="QYT4" s="80"/>
      <c r="QYU4" s="80"/>
      <c r="QYV4" s="80"/>
      <c r="QYW4" s="79"/>
      <c r="QYX4" s="80"/>
      <c r="QYY4" s="80"/>
      <c r="QYZ4" s="80"/>
      <c r="QZA4" s="79"/>
      <c r="QZB4" s="80"/>
      <c r="QZC4" s="80"/>
      <c r="QZD4" s="80"/>
      <c r="QZE4" s="79"/>
      <c r="QZF4" s="80"/>
      <c r="QZG4" s="80"/>
      <c r="QZH4" s="80"/>
      <c r="QZI4" s="79"/>
      <c r="QZJ4" s="80"/>
      <c r="QZK4" s="80"/>
      <c r="QZL4" s="80"/>
      <c r="QZM4" s="79"/>
      <c r="QZN4" s="80"/>
      <c r="QZO4" s="80"/>
      <c r="QZP4" s="80"/>
      <c r="QZQ4" s="79"/>
      <c r="QZR4" s="80"/>
      <c r="QZS4" s="80"/>
      <c r="QZT4" s="80"/>
      <c r="QZU4" s="79"/>
      <c r="QZV4" s="80"/>
      <c r="QZW4" s="80"/>
      <c r="QZX4" s="80"/>
      <c r="QZY4" s="79"/>
      <c r="QZZ4" s="80"/>
      <c r="RAA4" s="80"/>
      <c r="RAB4" s="80"/>
      <c r="RAC4" s="79"/>
      <c r="RAD4" s="80"/>
      <c r="RAE4" s="80"/>
      <c r="RAF4" s="80"/>
      <c r="RAG4" s="79"/>
      <c r="RAH4" s="80"/>
      <c r="RAI4" s="80"/>
      <c r="RAJ4" s="80"/>
      <c r="RAK4" s="79"/>
      <c r="RAL4" s="80"/>
      <c r="RAM4" s="80"/>
      <c r="RAN4" s="80"/>
      <c r="RAO4" s="79"/>
      <c r="RAP4" s="80"/>
      <c r="RAQ4" s="80"/>
      <c r="RAR4" s="80"/>
      <c r="RAS4" s="79"/>
      <c r="RAT4" s="80"/>
      <c r="RAU4" s="80"/>
      <c r="RAV4" s="80"/>
      <c r="RAW4" s="79"/>
      <c r="RAX4" s="80"/>
      <c r="RAY4" s="80"/>
      <c r="RAZ4" s="80"/>
      <c r="RBA4" s="79"/>
      <c r="RBB4" s="80"/>
      <c r="RBC4" s="80"/>
      <c r="RBD4" s="80"/>
      <c r="RBE4" s="79"/>
      <c r="RBF4" s="80"/>
      <c r="RBG4" s="80"/>
      <c r="RBH4" s="80"/>
      <c r="RBI4" s="79"/>
      <c r="RBJ4" s="80"/>
      <c r="RBK4" s="80"/>
      <c r="RBL4" s="80"/>
      <c r="RBM4" s="79"/>
      <c r="RBN4" s="80"/>
      <c r="RBO4" s="80"/>
      <c r="RBP4" s="80"/>
      <c r="RBQ4" s="79"/>
      <c r="RBR4" s="80"/>
      <c r="RBS4" s="80"/>
      <c r="RBT4" s="80"/>
      <c r="RBU4" s="79"/>
      <c r="RBV4" s="80"/>
      <c r="RBW4" s="80"/>
      <c r="RBX4" s="80"/>
      <c r="RBY4" s="79"/>
      <c r="RBZ4" s="80"/>
      <c r="RCA4" s="80"/>
      <c r="RCB4" s="80"/>
      <c r="RCC4" s="79"/>
      <c r="RCD4" s="80"/>
      <c r="RCE4" s="80"/>
      <c r="RCF4" s="80"/>
      <c r="RCG4" s="79"/>
      <c r="RCH4" s="80"/>
      <c r="RCI4" s="80"/>
      <c r="RCJ4" s="80"/>
      <c r="RCK4" s="79"/>
      <c r="RCL4" s="80"/>
      <c r="RCM4" s="80"/>
      <c r="RCN4" s="80"/>
      <c r="RCO4" s="79"/>
      <c r="RCP4" s="80"/>
      <c r="RCQ4" s="80"/>
      <c r="RCR4" s="80"/>
      <c r="RCS4" s="79"/>
      <c r="RCT4" s="80"/>
      <c r="RCU4" s="80"/>
      <c r="RCV4" s="80"/>
      <c r="RCW4" s="79"/>
      <c r="RCX4" s="80"/>
      <c r="RCY4" s="80"/>
      <c r="RCZ4" s="80"/>
      <c r="RDA4" s="79"/>
      <c r="RDB4" s="80"/>
      <c r="RDC4" s="80"/>
      <c r="RDD4" s="80"/>
      <c r="RDE4" s="79"/>
      <c r="RDF4" s="80"/>
      <c r="RDG4" s="80"/>
      <c r="RDH4" s="80"/>
      <c r="RDI4" s="79"/>
      <c r="RDJ4" s="80"/>
      <c r="RDK4" s="80"/>
      <c r="RDL4" s="80"/>
      <c r="RDM4" s="79"/>
      <c r="RDN4" s="80"/>
      <c r="RDO4" s="80"/>
      <c r="RDP4" s="80"/>
      <c r="RDQ4" s="79"/>
      <c r="RDR4" s="80"/>
      <c r="RDS4" s="80"/>
      <c r="RDT4" s="80"/>
      <c r="RDU4" s="79"/>
      <c r="RDV4" s="80"/>
      <c r="RDW4" s="80"/>
      <c r="RDX4" s="80"/>
      <c r="RDY4" s="79"/>
      <c r="RDZ4" s="80"/>
      <c r="REA4" s="80"/>
      <c r="REB4" s="80"/>
      <c r="REC4" s="79"/>
      <c r="RED4" s="80"/>
      <c r="REE4" s="80"/>
      <c r="REF4" s="80"/>
      <c r="REG4" s="79"/>
      <c r="REH4" s="80"/>
      <c r="REI4" s="80"/>
      <c r="REJ4" s="80"/>
      <c r="REK4" s="79"/>
      <c r="REL4" s="80"/>
      <c r="REM4" s="80"/>
      <c r="REN4" s="80"/>
      <c r="REO4" s="79"/>
      <c r="REP4" s="80"/>
      <c r="REQ4" s="80"/>
      <c r="RER4" s="80"/>
      <c r="RES4" s="79"/>
      <c r="RET4" s="80"/>
      <c r="REU4" s="80"/>
      <c r="REV4" s="80"/>
      <c r="REW4" s="79"/>
      <c r="REX4" s="80"/>
      <c r="REY4" s="80"/>
      <c r="REZ4" s="80"/>
      <c r="RFA4" s="79"/>
      <c r="RFB4" s="80"/>
      <c r="RFC4" s="80"/>
      <c r="RFD4" s="80"/>
      <c r="RFE4" s="79"/>
      <c r="RFF4" s="80"/>
      <c r="RFG4" s="80"/>
      <c r="RFH4" s="80"/>
      <c r="RFI4" s="79"/>
      <c r="RFJ4" s="80"/>
      <c r="RFK4" s="80"/>
      <c r="RFL4" s="80"/>
      <c r="RFM4" s="79"/>
      <c r="RFN4" s="80"/>
      <c r="RFO4" s="80"/>
      <c r="RFP4" s="80"/>
      <c r="RFQ4" s="79"/>
      <c r="RFR4" s="80"/>
      <c r="RFS4" s="80"/>
      <c r="RFT4" s="80"/>
      <c r="RFU4" s="79"/>
      <c r="RFV4" s="80"/>
      <c r="RFW4" s="80"/>
      <c r="RFX4" s="80"/>
      <c r="RFY4" s="79"/>
      <c r="RFZ4" s="80"/>
      <c r="RGA4" s="80"/>
      <c r="RGB4" s="80"/>
      <c r="RGC4" s="79"/>
      <c r="RGD4" s="80"/>
      <c r="RGE4" s="80"/>
      <c r="RGF4" s="80"/>
      <c r="RGG4" s="79"/>
      <c r="RGH4" s="80"/>
      <c r="RGI4" s="80"/>
      <c r="RGJ4" s="80"/>
      <c r="RGK4" s="79"/>
      <c r="RGL4" s="80"/>
      <c r="RGM4" s="80"/>
      <c r="RGN4" s="80"/>
      <c r="RGO4" s="79"/>
      <c r="RGP4" s="80"/>
      <c r="RGQ4" s="80"/>
      <c r="RGR4" s="80"/>
      <c r="RGS4" s="79"/>
      <c r="RGT4" s="80"/>
      <c r="RGU4" s="80"/>
      <c r="RGV4" s="80"/>
      <c r="RGW4" s="79"/>
      <c r="RGX4" s="80"/>
      <c r="RGY4" s="80"/>
      <c r="RGZ4" s="80"/>
      <c r="RHA4" s="79"/>
      <c r="RHB4" s="80"/>
      <c r="RHC4" s="80"/>
      <c r="RHD4" s="80"/>
      <c r="RHE4" s="79"/>
      <c r="RHF4" s="80"/>
      <c r="RHG4" s="80"/>
      <c r="RHH4" s="80"/>
      <c r="RHI4" s="79"/>
      <c r="RHJ4" s="80"/>
      <c r="RHK4" s="80"/>
      <c r="RHL4" s="80"/>
      <c r="RHM4" s="79"/>
      <c r="RHN4" s="80"/>
      <c r="RHO4" s="80"/>
      <c r="RHP4" s="80"/>
      <c r="RHQ4" s="79"/>
      <c r="RHR4" s="80"/>
      <c r="RHS4" s="80"/>
      <c r="RHT4" s="80"/>
      <c r="RHU4" s="79"/>
      <c r="RHV4" s="80"/>
      <c r="RHW4" s="80"/>
      <c r="RHX4" s="80"/>
      <c r="RHY4" s="79"/>
      <c r="RHZ4" s="80"/>
      <c r="RIA4" s="80"/>
      <c r="RIB4" s="80"/>
      <c r="RIC4" s="79"/>
      <c r="RID4" s="80"/>
      <c r="RIE4" s="80"/>
      <c r="RIF4" s="80"/>
      <c r="RIG4" s="79"/>
      <c r="RIH4" s="80"/>
      <c r="RII4" s="80"/>
      <c r="RIJ4" s="80"/>
      <c r="RIK4" s="79"/>
      <c r="RIL4" s="80"/>
      <c r="RIM4" s="80"/>
      <c r="RIN4" s="80"/>
      <c r="RIO4" s="79"/>
      <c r="RIP4" s="80"/>
      <c r="RIQ4" s="80"/>
      <c r="RIR4" s="80"/>
      <c r="RIS4" s="79"/>
      <c r="RIT4" s="80"/>
      <c r="RIU4" s="80"/>
      <c r="RIV4" s="80"/>
      <c r="RIW4" s="79"/>
      <c r="RIX4" s="80"/>
      <c r="RIY4" s="80"/>
      <c r="RIZ4" s="80"/>
      <c r="RJA4" s="79"/>
      <c r="RJB4" s="80"/>
      <c r="RJC4" s="80"/>
      <c r="RJD4" s="80"/>
      <c r="RJE4" s="79"/>
      <c r="RJF4" s="80"/>
      <c r="RJG4" s="80"/>
      <c r="RJH4" s="80"/>
      <c r="RJI4" s="79"/>
      <c r="RJJ4" s="80"/>
      <c r="RJK4" s="80"/>
      <c r="RJL4" s="80"/>
      <c r="RJM4" s="79"/>
      <c r="RJN4" s="80"/>
      <c r="RJO4" s="80"/>
      <c r="RJP4" s="80"/>
      <c r="RJQ4" s="79"/>
      <c r="RJR4" s="80"/>
      <c r="RJS4" s="80"/>
      <c r="RJT4" s="80"/>
      <c r="RJU4" s="79"/>
      <c r="RJV4" s="80"/>
      <c r="RJW4" s="80"/>
      <c r="RJX4" s="80"/>
      <c r="RJY4" s="79"/>
      <c r="RJZ4" s="80"/>
      <c r="RKA4" s="80"/>
      <c r="RKB4" s="80"/>
      <c r="RKC4" s="79"/>
      <c r="RKD4" s="80"/>
      <c r="RKE4" s="80"/>
      <c r="RKF4" s="80"/>
      <c r="RKG4" s="79"/>
      <c r="RKH4" s="80"/>
      <c r="RKI4" s="80"/>
      <c r="RKJ4" s="80"/>
      <c r="RKK4" s="79"/>
      <c r="RKL4" s="80"/>
      <c r="RKM4" s="80"/>
      <c r="RKN4" s="80"/>
      <c r="RKO4" s="79"/>
      <c r="RKP4" s="80"/>
      <c r="RKQ4" s="80"/>
      <c r="RKR4" s="80"/>
      <c r="RKS4" s="79"/>
      <c r="RKT4" s="80"/>
      <c r="RKU4" s="80"/>
      <c r="RKV4" s="80"/>
      <c r="RKW4" s="79"/>
      <c r="RKX4" s="80"/>
      <c r="RKY4" s="80"/>
      <c r="RKZ4" s="80"/>
      <c r="RLA4" s="79"/>
      <c r="RLB4" s="80"/>
      <c r="RLC4" s="80"/>
      <c r="RLD4" s="80"/>
      <c r="RLE4" s="79"/>
      <c r="RLF4" s="80"/>
      <c r="RLG4" s="80"/>
      <c r="RLH4" s="80"/>
      <c r="RLI4" s="79"/>
      <c r="RLJ4" s="80"/>
      <c r="RLK4" s="80"/>
      <c r="RLL4" s="80"/>
      <c r="RLM4" s="79"/>
      <c r="RLN4" s="80"/>
      <c r="RLO4" s="80"/>
      <c r="RLP4" s="80"/>
      <c r="RLQ4" s="79"/>
      <c r="RLR4" s="80"/>
      <c r="RLS4" s="80"/>
      <c r="RLT4" s="80"/>
      <c r="RLU4" s="79"/>
      <c r="RLV4" s="80"/>
      <c r="RLW4" s="80"/>
      <c r="RLX4" s="80"/>
      <c r="RLY4" s="79"/>
      <c r="RLZ4" s="80"/>
      <c r="RMA4" s="80"/>
      <c r="RMB4" s="80"/>
      <c r="RMC4" s="79"/>
      <c r="RMD4" s="80"/>
      <c r="RME4" s="80"/>
      <c r="RMF4" s="80"/>
      <c r="RMG4" s="79"/>
      <c r="RMH4" s="80"/>
      <c r="RMI4" s="80"/>
      <c r="RMJ4" s="80"/>
      <c r="RMK4" s="79"/>
      <c r="RML4" s="80"/>
      <c r="RMM4" s="80"/>
      <c r="RMN4" s="80"/>
      <c r="RMO4" s="79"/>
      <c r="RMP4" s="80"/>
      <c r="RMQ4" s="80"/>
      <c r="RMR4" s="80"/>
      <c r="RMS4" s="79"/>
      <c r="RMT4" s="80"/>
      <c r="RMU4" s="80"/>
      <c r="RMV4" s="80"/>
      <c r="RMW4" s="79"/>
      <c r="RMX4" s="80"/>
      <c r="RMY4" s="80"/>
      <c r="RMZ4" s="80"/>
      <c r="RNA4" s="79"/>
      <c r="RNB4" s="80"/>
      <c r="RNC4" s="80"/>
      <c r="RND4" s="80"/>
      <c r="RNE4" s="79"/>
      <c r="RNF4" s="80"/>
      <c r="RNG4" s="80"/>
      <c r="RNH4" s="80"/>
      <c r="RNI4" s="79"/>
      <c r="RNJ4" s="80"/>
      <c r="RNK4" s="80"/>
      <c r="RNL4" s="80"/>
      <c r="RNM4" s="79"/>
      <c r="RNN4" s="80"/>
      <c r="RNO4" s="80"/>
      <c r="RNP4" s="80"/>
      <c r="RNQ4" s="79"/>
      <c r="RNR4" s="80"/>
      <c r="RNS4" s="80"/>
      <c r="RNT4" s="80"/>
      <c r="RNU4" s="79"/>
      <c r="RNV4" s="80"/>
      <c r="RNW4" s="80"/>
      <c r="RNX4" s="80"/>
      <c r="RNY4" s="79"/>
      <c r="RNZ4" s="80"/>
      <c r="ROA4" s="80"/>
      <c r="ROB4" s="80"/>
      <c r="ROC4" s="79"/>
      <c r="ROD4" s="80"/>
      <c r="ROE4" s="80"/>
      <c r="ROF4" s="80"/>
      <c r="ROG4" s="79"/>
      <c r="ROH4" s="80"/>
      <c r="ROI4" s="80"/>
      <c r="ROJ4" s="80"/>
      <c r="ROK4" s="79"/>
      <c r="ROL4" s="80"/>
      <c r="ROM4" s="80"/>
      <c r="RON4" s="80"/>
      <c r="ROO4" s="79"/>
      <c r="ROP4" s="80"/>
      <c r="ROQ4" s="80"/>
      <c r="ROR4" s="80"/>
      <c r="ROS4" s="79"/>
      <c r="ROT4" s="80"/>
      <c r="ROU4" s="80"/>
      <c r="ROV4" s="80"/>
      <c r="ROW4" s="79"/>
      <c r="ROX4" s="80"/>
      <c r="ROY4" s="80"/>
      <c r="ROZ4" s="80"/>
      <c r="RPA4" s="79"/>
      <c r="RPB4" s="80"/>
      <c r="RPC4" s="80"/>
      <c r="RPD4" s="80"/>
      <c r="RPE4" s="79"/>
      <c r="RPF4" s="80"/>
      <c r="RPG4" s="80"/>
      <c r="RPH4" s="80"/>
      <c r="RPI4" s="79"/>
      <c r="RPJ4" s="80"/>
      <c r="RPK4" s="80"/>
      <c r="RPL4" s="80"/>
      <c r="RPM4" s="79"/>
      <c r="RPN4" s="80"/>
      <c r="RPO4" s="80"/>
      <c r="RPP4" s="80"/>
      <c r="RPQ4" s="79"/>
      <c r="RPR4" s="80"/>
      <c r="RPS4" s="80"/>
      <c r="RPT4" s="80"/>
      <c r="RPU4" s="79"/>
      <c r="RPV4" s="80"/>
      <c r="RPW4" s="80"/>
      <c r="RPX4" s="80"/>
      <c r="RPY4" s="79"/>
      <c r="RPZ4" s="80"/>
      <c r="RQA4" s="80"/>
      <c r="RQB4" s="80"/>
      <c r="RQC4" s="79"/>
      <c r="RQD4" s="80"/>
      <c r="RQE4" s="80"/>
      <c r="RQF4" s="80"/>
      <c r="RQG4" s="79"/>
      <c r="RQH4" s="80"/>
      <c r="RQI4" s="80"/>
      <c r="RQJ4" s="80"/>
      <c r="RQK4" s="79"/>
      <c r="RQL4" s="80"/>
      <c r="RQM4" s="80"/>
      <c r="RQN4" s="80"/>
      <c r="RQO4" s="79"/>
      <c r="RQP4" s="80"/>
      <c r="RQQ4" s="80"/>
      <c r="RQR4" s="80"/>
      <c r="RQS4" s="79"/>
      <c r="RQT4" s="80"/>
      <c r="RQU4" s="80"/>
      <c r="RQV4" s="80"/>
      <c r="RQW4" s="79"/>
      <c r="RQX4" s="80"/>
      <c r="RQY4" s="80"/>
      <c r="RQZ4" s="80"/>
      <c r="RRA4" s="79"/>
      <c r="RRB4" s="80"/>
      <c r="RRC4" s="80"/>
      <c r="RRD4" s="80"/>
      <c r="RRE4" s="79"/>
      <c r="RRF4" s="80"/>
      <c r="RRG4" s="80"/>
      <c r="RRH4" s="80"/>
      <c r="RRI4" s="79"/>
      <c r="RRJ4" s="80"/>
      <c r="RRK4" s="80"/>
      <c r="RRL4" s="80"/>
      <c r="RRM4" s="79"/>
      <c r="RRN4" s="80"/>
      <c r="RRO4" s="80"/>
      <c r="RRP4" s="80"/>
      <c r="RRQ4" s="79"/>
      <c r="RRR4" s="80"/>
      <c r="RRS4" s="80"/>
      <c r="RRT4" s="80"/>
      <c r="RRU4" s="79"/>
      <c r="RRV4" s="80"/>
      <c r="RRW4" s="80"/>
      <c r="RRX4" s="80"/>
      <c r="RRY4" s="79"/>
      <c r="RRZ4" s="80"/>
      <c r="RSA4" s="80"/>
      <c r="RSB4" s="80"/>
      <c r="RSC4" s="79"/>
      <c r="RSD4" s="80"/>
      <c r="RSE4" s="80"/>
      <c r="RSF4" s="80"/>
      <c r="RSG4" s="79"/>
      <c r="RSH4" s="80"/>
      <c r="RSI4" s="80"/>
      <c r="RSJ4" s="80"/>
      <c r="RSK4" s="79"/>
      <c r="RSL4" s="80"/>
      <c r="RSM4" s="80"/>
      <c r="RSN4" s="80"/>
      <c r="RSO4" s="79"/>
      <c r="RSP4" s="80"/>
      <c r="RSQ4" s="80"/>
      <c r="RSR4" s="80"/>
      <c r="RSS4" s="79"/>
      <c r="RST4" s="80"/>
      <c r="RSU4" s="80"/>
      <c r="RSV4" s="80"/>
      <c r="RSW4" s="79"/>
      <c r="RSX4" s="80"/>
      <c r="RSY4" s="80"/>
      <c r="RSZ4" s="80"/>
      <c r="RTA4" s="79"/>
      <c r="RTB4" s="80"/>
      <c r="RTC4" s="80"/>
      <c r="RTD4" s="80"/>
      <c r="RTE4" s="79"/>
      <c r="RTF4" s="80"/>
      <c r="RTG4" s="80"/>
      <c r="RTH4" s="80"/>
      <c r="RTI4" s="79"/>
      <c r="RTJ4" s="80"/>
      <c r="RTK4" s="80"/>
      <c r="RTL4" s="80"/>
      <c r="RTM4" s="79"/>
      <c r="RTN4" s="80"/>
      <c r="RTO4" s="80"/>
      <c r="RTP4" s="80"/>
      <c r="RTQ4" s="79"/>
      <c r="RTR4" s="80"/>
      <c r="RTS4" s="80"/>
      <c r="RTT4" s="80"/>
      <c r="RTU4" s="79"/>
      <c r="RTV4" s="80"/>
      <c r="RTW4" s="80"/>
      <c r="RTX4" s="80"/>
      <c r="RTY4" s="79"/>
      <c r="RTZ4" s="80"/>
      <c r="RUA4" s="80"/>
      <c r="RUB4" s="80"/>
      <c r="RUC4" s="79"/>
      <c r="RUD4" s="80"/>
      <c r="RUE4" s="80"/>
      <c r="RUF4" s="80"/>
      <c r="RUG4" s="79"/>
      <c r="RUH4" s="80"/>
      <c r="RUI4" s="80"/>
      <c r="RUJ4" s="80"/>
      <c r="RUK4" s="79"/>
      <c r="RUL4" s="80"/>
      <c r="RUM4" s="80"/>
      <c r="RUN4" s="80"/>
      <c r="RUO4" s="79"/>
      <c r="RUP4" s="80"/>
      <c r="RUQ4" s="80"/>
      <c r="RUR4" s="80"/>
      <c r="RUS4" s="79"/>
      <c r="RUT4" s="80"/>
      <c r="RUU4" s="80"/>
      <c r="RUV4" s="80"/>
      <c r="RUW4" s="79"/>
      <c r="RUX4" s="80"/>
      <c r="RUY4" s="80"/>
      <c r="RUZ4" s="80"/>
      <c r="RVA4" s="79"/>
      <c r="RVB4" s="80"/>
      <c r="RVC4" s="80"/>
      <c r="RVD4" s="80"/>
      <c r="RVE4" s="79"/>
      <c r="RVF4" s="80"/>
      <c r="RVG4" s="80"/>
      <c r="RVH4" s="80"/>
      <c r="RVI4" s="79"/>
      <c r="RVJ4" s="80"/>
      <c r="RVK4" s="80"/>
      <c r="RVL4" s="80"/>
      <c r="RVM4" s="79"/>
      <c r="RVN4" s="80"/>
      <c r="RVO4" s="80"/>
      <c r="RVP4" s="80"/>
      <c r="RVQ4" s="79"/>
      <c r="RVR4" s="80"/>
      <c r="RVS4" s="80"/>
      <c r="RVT4" s="80"/>
      <c r="RVU4" s="79"/>
      <c r="RVV4" s="80"/>
      <c r="RVW4" s="80"/>
      <c r="RVX4" s="80"/>
      <c r="RVY4" s="79"/>
      <c r="RVZ4" s="80"/>
      <c r="RWA4" s="80"/>
      <c r="RWB4" s="80"/>
      <c r="RWC4" s="79"/>
      <c r="RWD4" s="80"/>
      <c r="RWE4" s="80"/>
      <c r="RWF4" s="80"/>
      <c r="RWG4" s="79"/>
      <c r="RWH4" s="80"/>
      <c r="RWI4" s="80"/>
      <c r="RWJ4" s="80"/>
      <c r="RWK4" s="79"/>
      <c r="RWL4" s="80"/>
      <c r="RWM4" s="80"/>
      <c r="RWN4" s="80"/>
      <c r="RWO4" s="79"/>
      <c r="RWP4" s="80"/>
      <c r="RWQ4" s="80"/>
      <c r="RWR4" s="80"/>
      <c r="RWS4" s="79"/>
      <c r="RWT4" s="80"/>
      <c r="RWU4" s="80"/>
      <c r="RWV4" s="80"/>
      <c r="RWW4" s="79"/>
      <c r="RWX4" s="80"/>
      <c r="RWY4" s="80"/>
      <c r="RWZ4" s="80"/>
      <c r="RXA4" s="79"/>
      <c r="RXB4" s="80"/>
      <c r="RXC4" s="80"/>
      <c r="RXD4" s="80"/>
      <c r="RXE4" s="79"/>
      <c r="RXF4" s="80"/>
      <c r="RXG4" s="80"/>
      <c r="RXH4" s="80"/>
      <c r="RXI4" s="79"/>
      <c r="RXJ4" s="80"/>
      <c r="RXK4" s="80"/>
      <c r="RXL4" s="80"/>
      <c r="RXM4" s="79"/>
      <c r="RXN4" s="80"/>
      <c r="RXO4" s="80"/>
      <c r="RXP4" s="80"/>
      <c r="RXQ4" s="79"/>
      <c r="RXR4" s="80"/>
      <c r="RXS4" s="80"/>
      <c r="RXT4" s="80"/>
      <c r="RXU4" s="79"/>
      <c r="RXV4" s="80"/>
      <c r="RXW4" s="80"/>
      <c r="RXX4" s="80"/>
      <c r="RXY4" s="79"/>
      <c r="RXZ4" s="80"/>
      <c r="RYA4" s="80"/>
      <c r="RYB4" s="80"/>
      <c r="RYC4" s="79"/>
      <c r="RYD4" s="80"/>
      <c r="RYE4" s="80"/>
      <c r="RYF4" s="80"/>
      <c r="RYG4" s="79"/>
      <c r="RYH4" s="80"/>
      <c r="RYI4" s="80"/>
      <c r="RYJ4" s="80"/>
      <c r="RYK4" s="79"/>
      <c r="RYL4" s="80"/>
      <c r="RYM4" s="80"/>
      <c r="RYN4" s="80"/>
      <c r="RYO4" s="79"/>
      <c r="RYP4" s="80"/>
      <c r="RYQ4" s="80"/>
      <c r="RYR4" s="80"/>
      <c r="RYS4" s="79"/>
      <c r="RYT4" s="80"/>
      <c r="RYU4" s="80"/>
      <c r="RYV4" s="80"/>
      <c r="RYW4" s="79"/>
      <c r="RYX4" s="80"/>
      <c r="RYY4" s="80"/>
      <c r="RYZ4" s="80"/>
      <c r="RZA4" s="79"/>
      <c r="RZB4" s="80"/>
      <c r="RZC4" s="80"/>
      <c r="RZD4" s="80"/>
      <c r="RZE4" s="79"/>
      <c r="RZF4" s="80"/>
      <c r="RZG4" s="80"/>
      <c r="RZH4" s="80"/>
      <c r="RZI4" s="79"/>
      <c r="RZJ4" s="80"/>
      <c r="RZK4" s="80"/>
      <c r="RZL4" s="80"/>
      <c r="RZM4" s="79"/>
      <c r="RZN4" s="80"/>
      <c r="RZO4" s="80"/>
      <c r="RZP4" s="80"/>
      <c r="RZQ4" s="79"/>
      <c r="RZR4" s="80"/>
      <c r="RZS4" s="80"/>
      <c r="RZT4" s="80"/>
      <c r="RZU4" s="79"/>
      <c r="RZV4" s="80"/>
      <c r="RZW4" s="80"/>
      <c r="RZX4" s="80"/>
      <c r="RZY4" s="79"/>
      <c r="RZZ4" s="80"/>
      <c r="SAA4" s="80"/>
      <c r="SAB4" s="80"/>
      <c r="SAC4" s="79"/>
      <c r="SAD4" s="80"/>
      <c r="SAE4" s="80"/>
      <c r="SAF4" s="80"/>
      <c r="SAG4" s="79"/>
      <c r="SAH4" s="80"/>
      <c r="SAI4" s="80"/>
      <c r="SAJ4" s="80"/>
      <c r="SAK4" s="79"/>
      <c r="SAL4" s="80"/>
      <c r="SAM4" s="80"/>
      <c r="SAN4" s="80"/>
      <c r="SAO4" s="79"/>
      <c r="SAP4" s="80"/>
      <c r="SAQ4" s="80"/>
      <c r="SAR4" s="80"/>
      <c r="SAS4" s="79"/>
      <c r="SAT4" s="80"/>
      <c r="SAU4" s="80"/>
      <c r="SAV4" s="80"/>
      <c r="SAW4" s="79"/>
      <c r="SAX4" s="80"/>
      <c r="SAY4" s="80"/>
      <c r="SAZ4" s="80"/>
      <c r="SBA4" s="79"/>
      <c r="SBB4" s="80"/>
      <c r="SBC4" s="80"/>
      <c r="SBD4" s="80"/>
      <c r="SBE4" s="79"/>
      <c r="SBF4" s="80"/>
      <c r="SBG4" s="80"/>
      <c r="SBH4" s="80"/>
      <c r="SBI4" s="79"/>
      <c r="SBJ4" s="80"/>
      <c r="SBK4" s="80"/>
      <c r="SBL4" s="80"/>
      <c r="SBM4" s="79"/>
      <c r="SBN4" s="80"/>
      <c r="SBO4" s="80"/>
      <c r="SBP4" s="80"/>
      <c r="SBQ4" s="79"/>
      <c r="SBR4" s="80"/>
      <c r="SBS4" s="80"/>
      <c r="SBT4" s="80"/>
      <c r="SBU4" s="79"/>
      <c r="SBV4" s="80"/>
      <c r="SBW4" s="80"/>
      <c r="SBX4" s="80"/>
      <c r="SBY4" s="79"/>
      <c r="SBZ4" s="80"/>
      <c r="SCA4" s="80"/>
      <c r="SCB4" s="80"/>
      <c r="SCC4" s="79"/>
      <c r="SCD4" s="80"/>
      <c r="SCE4" s="80"/>
      <c r="SCF4" s="80"/>
      <c r="SCG4" s="79"/>
      <c r="SCH4" s="80"/>
      <c r="SCI4" s="80"/>
      <c r="SCJ4" s="80"/>
      <c r="SCK4" s="79"/>
      <c r="SCL4" s="80"/>
      <c r="SCM4" s="80"/>
      <c r="SCN4" s="80"/>
      <c r="SCO4" s="79"/>
      <c r="SCP4" s="80"/>
      <c r="SCQ4" s="80"/>
      <c r="SCR4" s="80"/>
      <c r="SCS4" s="79"/>
      <c r="SCT4" s="80"/>
      <c r="SCU4" s="80"/>
      <c r="SCV4" s="80"/>
      <c r="SCW4" s="79"/>
      <c r="SCX4" s="80"/>
      <c r="SCY4" s="80"/>
      <c r="SCZ4" s="80"/>
      <c r="SDA4" s="79"/>
      <c r="SDB4" s="80"/>
      <c r="SDC4" s="80"/>
      <c r="SDD4" s="80"/>
      <c r="SDE4" s="79"/>
      <c r="SDF4" s="80"/>
      <c r="SDG4" s="80"/>
      <c r="SDH4" s="80"/>
      <c r="SDI4" s="79"/>
      <c r="SDJ4" s="80"/>
      <c r="SDK4" s="80"/>
      <c r="SDL4" s="80"/>
      <c r="SDM4" s="79"/>
      <c r="SDN4" s="80"/>
      <c r="SDO4" s="80"/>
      <c r="SDP4" s="80"/>
      <c r="SDQ4" s="79"/>
      <c r="SDR4" s="80"/>
      <c r="SDS4" s="80"/>
      <c r="SDT4" s="80"/>
      <c r="SDU4" s="79"/>
      <c r="SDV4" s="80"/>
      <c r="SDW4" s="80"/>
      <c r="SDX4" s="80"/>
      <c r="SDY4" s="79"/>
      <c r="SDZ4" s="80"/>
      <c r="SEA4" s="80"/>
      <c r="SEB4" s="80"/>
      <c r="SEC4" s="79"/>
      <c r="SED4" s="80"/>
      <c r="SEE4" s="80"/>
      <c r="SEF4" s="80"/>
      <c r="SEG4" s="79"/>
      <c r="SEH4" s="80"/>
      <c r="SEI4" s="80"/>
      <c r="SEJ4" s="80"/>
      <c r="SEK4" s="79"/>
      <c r="SEL4" s="80"/>
      <c r="SEM4" s="80"/>
      <c r="SEN4" s="80"/>
      <c r="SEO4" s="79"/>
      <c r="SEP4" s="80"/>
      <c r="SEQ4" s="80"/>
      <c r="SER4" s="80"/>
      <c r="SES4" s="79"/>
      <c r="SET4" s="80"/>
      <c r="SEU4" s="80"/>
      <c r="SEV4" s="80"/>
      <c r="SEW4" s="79"/>
      <c r="SEX4" s="80"/>
      <c r="SEY4" s="80"/>
      <c r="SEZ4" s="80"/>
      <c r="SFA4" s="79"/>
      <c r="SFB4" s="80"/>
      <c r="SFC4" s="80"/>
      <c r="SFD4" s="80"/>
      <c r="SFE4" s="79"/>
      <c r="SFF4" s="80"/>
      <c r="SFG4" s="80"/>
      <c r="SFH4" s="80"/>
      <c r="SFI4" s="79"/>
      <c r="SFJ4" s="80"/>
      <c r="SFK4" s="80"/>
      <c r="SFL4" s="80"/>
      <c r="SFM4" s="79"/>
      <c r="SFN4" s="80"/>
      <c r="SFO4" s="80"/>
      <c r="SFP4" s="80"/>
      <c r="SFQ4" s="79"/>
      <c r="SFR4" s="80"/>
      <c r="SFS4" s="80"/>
      <c r="SFT4" s="80"/>
      <c r="SFU4" s="79"/>
      <c r="SFV4" s="80"/>
      <c r="SFW4" s="80"/>
      <c r="SFX4" s="80"/>
      <c r="SFY4" s="79"/>
      <c r="SFZ4" s="80"/>
      <c r="SGA4" s="80"/>
      <c r="SGB4" s="80"/>
      <c r="SGC4" s="79"/>
      <c r="SGD4" s="80"/>
      <c r="SGE4" s="80"/>
      <c r="SGF4" s="80"/>
      <c r="SGG4" s="79"/>
      <c r="SGH4" s="80"/>
      <c r="SGI4" s="80"/>
      <c r="SGJ4" s="80"/>
      <c r="SGK4" s="79"/>
      <c r="SGL4" s="80"/>
      <c r="SGM4" s="80"/>
      <c r="SGN4" s="80"/>
      <c r="SGO4" s="79"/>
      <c r="SGP4" s="80"/>
      <c r="SGQ4" s="80"/>
      <c r="SGR4" s="80"/>
      <c r="SGS4" s="79"/>
      <c r="SGT4" s="80"/>
      <c r="SGU4" s="80"/>
      <c r="SGV4" s="80"/>
      <c r="SGW4" s="79"/>
      <c r="SGX4" s="80"/>
      <c r="SGY4" s="80"/>
      <c r="SGZ4" s="80"/>
      <c r="SHA4" s="79"/>
      <c r="SHB4" s="80"/>
      <c r="SHC4" s="80"/>
      <c r="SHD4" s="80"/>
      <c r="SHE4" s="79"/>
      <c r="SHF4" s="80"/>
      <c r="SHG4" s="80"/>
      <c r="SHH4" s="80"/>
      <c r="SHI4" s="79"/>
      <c r="SHJ4" s="80"/>
      <c r="SHK4" s="80"/>
      <c r="SHL4" s="80"/>
      <c r="SHM4" s="79"/>
      <c r="SHN4" s="80"/>
      <c r="SHO4" s="80"/>
      <c r="SHP4" s="80"/>
      <c r="SHQ4" s="79"/>
      <c r="SHR4" s="80"/>
      <c r="SHS4" s="80"/>
      <c r="SHT4" s="80"/>
      <c r="SHU4" s="79"/>
      <c r="SHV4" s="80"/>
      <c r="SHW4" s="80"/>
      <c r="SHX4" s="80"/>
      <c r="SHY4" s="79"/>
      <c r="SHZ4" s="80"/>
      <c r="SIA4" s="80"/>
      <c r="SIB4" s="80"/>
      <c r="SIC4" s="79"/>
      <c r="SID4" s="80"/>
      <c r="SIE4" s="80"/>
      <c r="SIF4" s="80"/>
      <c r="SIG4" s="79"/>
      <c r="SIH4" s="80"/>
      <c r="SII4" s="80"/>
      <c r="SIJ4" s="80"/>
      <c r="SIK4" s="79"/>
      <c r="SIL4" s="80"/>
      <c r="SIM4" s="80"/>
      <c r="SIN4" s="80"/>
      <c r="SIO4" s="79"/>
      <c r="SIP4" s="80"/>
      <c r="SIQ4" s="80"/>
      <c r="SIR4" s="80"/>
      <c r="SIS4" s="79"/>
      <c r="SIT4" s="80"/>
      <c r="SIU4" s="80"/>
      <c r="SIV4" s="80"/>
      <c r="SIW4" s="79"/>
      <c r="SIX4" s="80"/>
      <c r="SIY4" s="80"/>
      <c r="SIZ4" s="80"/>
      <c r="SJA4" s="79"/>
      <c r="SJB4" s="80"/>
      <c r="SJC4" s="80"/>
      <c r="SJD4" s="80"/>
      <c r="SJE4" s="79"/>
      <c r="SJF4" s="80"/>
      <c r="SJG4" s="80"/>
      <c r="SJH4" s="80"/>
      <c r="SJI4" s="79"/>
      <c r="SJJ4" s="80"/>
      <c r="SJK4" s="80"/>
      <c r="SJL4" s="80"/>
      <c r="SJM4" s="79"/>
      <c r="SJN4" s="80"/>
      <c r="SJO4" s="80"/>
      <c r="SJP4" s="80"/>
      <c r="SJQ4" s="79"/>
      <c r="SJR4" s="80"/>
      <c r="SJS4" s="80"/>
      <c r="SJT4" s="80"/>
      <c r="SJU4" s="79"/>
      <c r="SJV4" s="80"/>
      <c r="SJW4" s="80"/>
      <c r="SJX4" s="80"/>
      <c r="SJY4" s="79"/>
      <c r="SJZ4" s="80"/>
      <c r="SKA4" s="80"/>
      <c r="SKB4" s="80"/>
      <c r="SKC4" s="79"/>
      <c r="SKD4" s="80"/>
      <c r="SKE4" s="80"/>
      <c r="SKF4" s="80"/>
      <c r="SKG4" s="79"/>
      <c r="SKH4" s="80"/>
      <c r="SKI4" s="80"/>
      <c r="SKJ4" s="80"/>
      <c r="SKK4" s="79"/>
      <c r="SKL4" s="80"/>
      <c r="SKM4" s="80"/>
      <c r="SKN4" s="80"/>
      <c r="SKO4" s="79"/>
      <c r="SKP4" s="80"/>
      <c r="SKQ4" s="80"/>
      <c r="SKR4" s="80"/>
      <c r="SKS4" s="79"/>
      <c r="SKT4" s="80"/>
      <c r="SKU4" s="80"/>
      <c r="SKV4" s="80"/>
      <c r="SKW4" s="79"/>
      <c r="SKX4" s="80"/>
      <c r="SKY4" s="80"/>
      <c r="SKZ4" s="80"/>
      <c r="SLA4" s="79"/>
      <c r="SLB4" s="80"/>
      <c r="SLC4" s="80"/>
      <c r="SLD4" s="80"/>
      <c r="SLE4" s="79"/>
      <c r="SLF4" s="80"/>
      <c r="SLG4" s="80"/>
      <c r="SLH4" s="80"/>
      <c r="SLI4" s="79"/>
      <c r="SLJ4" s="80"/>
      <c r="SLK4" s="80"/>
      <c r="SLL4" s="80"/>
      <c r="SLM4" s="79"/>
      <c r="SLN4" s="80"/>
      <c r="SLO4" s="80"/>
      <c r="SLP4" s="80"/>
      <c r="SLQ4" s="79"/>
      <c r="SLR4" s="80"/>
      <c r="SLS4" s="80"/>
      <c r="SLT4" s="80"/>
      <c r="SLU4" s="79"/>
      <c r="SLV4" s="80"/>
      <c r="SLW4" s="80"/>
      <c r="SLX4" s="80"/>
      <c r="SLY4" s="79"/>
      <c r="SLZ4" s="80"/>
      <c r="SMA4" s="80"/>
      <c r="SMB4" s="80"/>
      <c r="SMC4" s="79"/>
      <c r="SMD4" s="80"/>
      <c r="SME4" s="80"/>
      <c r="SMF4" s="80"/>
      <c r="SMG4" s="79"/>
      <c r="SMH4" s="80"/>
      <c r="SMI4" s="80"/>
      <c r="SMJ4" s="80"/>
      <c r="SMK4" s="79"/>
      <c r="SML4" s="80"/>
      <c r="SMM4" s="80"/>
      <c r="SMN4" s="80"/>
      <c r="SMO4" s="79"/>
      <c r="SMP4" s="80"/>
      <c r="SMQ4" s="80"/>
      <c r="SMR4" s="80"/>
      <c r="SMS4" s="79"/>
      <c r="SMT4" s="80"/>
      <c r="SMU4" s="80"/>
      <c r="SMV4" s="80"/>
      <c r="SMW4" s="79"/>
      <c r="SMX4" s="80"/>
      <c r="SMY4" s="80"/>
      <c r="SMZ4" s="80"/>
      <c r="SNA4" s="79"/>
      <c r="SNB4" s="80"/>
      <c r="SNC4" s="80"/>
      <c r="SND4" s="80"/>
      <c r="SNE4" s="79"/>
      <c r="SNF4" s="80"/>
      <c r="SNG4" s="80"/>
      <c r="SNH4" s="80"/>
      <c r="SNI4" s="79"/>
      <c r="SNJ4" s="80"/>
      <c r="SNK4" s="80"/>
      <c r="SNL4" s="80"/>
      <c r="SNM4" s="79"/>
      <c r="SNN4" s="80"/>
      <c r="SNO4" s="80"/>
      <c r="SNP4" s="80"/>
      <c r="SNQ4" s="79"/>
      <c r="SNR4" s="80"/>
      <c r="SNS4" s="80"/>
      <c r="SNT4" s="80"/>
      <c r="SNU4" s="79"/>
      <c r="SNV4" s="80"/>
      <c r="SNW4" s="80"/>
      <c r="SNX4" s="80"/>
      <c r="SNY4" s="79"/>
      <c r="SNZ4" s="80"/>
      <c r="SOA4" s="80"/>
      <c r="SOB4" s="80"/>
      <c r="SOC4" s="79"/>
      <c r="SOD4" s="80"/>
      <c r="SOE4" s="80"/>
      <c r="SOF4" s="80"/>
      <c r="SOG4" s="79"/>
      <c r="SOH4" s="80"/>
      <c r="SOI4" s="80"/>
      <c r="SOJ4" s="80"/>
      <c r="SOK4" s="79"/>
      <c r="SOL4" s="80"/>
      <c r="SOM4" s="80"/>
      <c r="SON4" s="80"/>
      <c r="SOO4" s="79"/>
      <c r="SOP4" s="80"/>
      <c r="SOQ4" s="80"/>
      <c r="SOR4" s="80"/>
      <c r="SOS4" s="79"/>
      <c r="SOT4" s="80"/>
      <c r="SOU4" s="80"/>
      <c r="SOV4" s="80"/>
      <c r="SOW4" s="79"/>
      <c r="SOX4" s="80"/>
      <c r="SOY4" s="80"/>
      <c r="SOZ4" s="80"/>
      <c r="SPA4" s="79"/>
      <c r="SPB4" s="80"/>
      <c r="SPC4" s="80"/>
      <c r="SPD4" s="80"/>
      <c r="SPE4" s="79"/>
      <c r="SPF4" s="80"/>
      <c r="SPG4" s="80"/>
      <c r="SPH4" s="80"/>
      <c r="SPI4" s="79"/>
      <c r="SPJ4" s="80"/>
      <c r="SPK4" s="80"/>
      <c r="SPL4" s="80"/>
      <c r="SPM4" s="79"/>
      <c r="SPN4" s="80"/>
      <c r="SPO4" s="80"/>
      <c r="SPP4" s="80"/>
      <c r="SPQ4" s="79"/>
      <c r="SPR4" s="80"/>
      <c r="SPS4" s="80"/>
      <c r="SPT4" s="80"/>
      <c r="SPU4" s="79"/>
      <c r="SPV4" s="80"/>
      <c r="SPW4" s="80"/>
      <c r="SPX4" s="80"/>
      <c r="SPY4" s="79"/>
      <c r="SPZ4" s="80"/>
      <c r="SQA4" s="80"/>
      <c r="SQB4" s="80"/>
      <c r="SQC4" s="79"/>
      <c r="SQD4" s="80"/>
      <c r="SQE4" s="80"/>
      <c r="SQF4" s="80"/>
      <c r="SQG4" s="79"/>
      <c r="SQH4" s="80"/>
      <c r="SQI4" s="80"/>
      <c r="SQJ4" s="80"/>
      <c r="SQK4" s="79"/>
      <c r="SQL4" s="80"/>
      <c r="SQM4" s="80"/>
      <c r="SQN4" s="80"/>
      <c r="SQO4" s="79"/>
      <c r="SQP4" s="80"/>
      <c r="SQQ4" s="80"/>
      <c r="SQR4" s="80"/>
      <c r="SQS4" s="79"/>
      <c r="SQT4" s="80"/>
      <c r="SQU4" s="80"/>
      <c r="SQV4" s="80"/>
      <c r="SQW4" s="79"/>
      <c r="SQX4" s="80"/>
      <c r="SQY4" s="80"/>
      <c r="SQZ4" s="80"/>
      <c r="SRA4" s="79"/>
      <c r="SRB4" s="80"/>
      <c r="SRC4" s="80"/>
      <c r="SRD4" s="80"/>
      <c r="SRE4" s="79"/>
      <c r="SRF4" s="80"/>
      <c r="SRG4" s="80"/>
      <c r="SRH4" s="80"/>
      <c r="SRI4" s="79"/>
      <c r="SRJ4" s="80"/>
      <c r="SRK4" s="80"/>
      <c r="SRL4" s="80"/>
      <c r="SRM4" s="79"/>
      <c r="SRN4" s="80"/>
      <c r="SRO4" s="80"/>
      <c r="SRP4" s="80"/>
      <c r="SRQ4" s="79"/>
      <c r="SRR4" s="80"/>
      <c r="SRS4" s="80"/>
      <c r="SRT4" s="80"/>
      <c r="SRU4" s="79"/>
      <c r="SRV4" s="80"/>
      <c r="SRW4" s="80"/>
      <c r="SRX4" s="80"/>
      <c r="SRY4" s="79"/>
      <c r="SRZ4" s="80"/>
      <c r="SSA4" s="80"/>
      <c r="SSB4" s="80"/>
      <c r="SSC4" s="79"/>
      <c r="SSD4" s="80"/>
      <c r="SSE4" s="80"/>
      <c r="SSF4" s="80"/>
      <c r="SSG4" s="79"/>
      <c r="SSH4" s="80"/>
      <c r="SSI4" s="80"/>
      <c r="SSJ4" s="80"/>
      <c r="SSK4" s="79"/>
      <c r="SSL4" s="80"/>
      <c r="SSM4" s="80"/>
      <c r="SSN4" s="80"/>
      <c r="SSO4" s="79"/>
      <c r="SSP4" s="80"/>
      <c r="SSQ4" s="80"/>
      <c r="SSR4" s="80"/>
      <c r="SSS4" s="79"/>
      <c r="SST4" s="80"/>
      <c r="SSU4" s="80"/>
      <c r="SSV4" s="80"/>
      <c r="SSW4" s="79"/>
      <c r="SSX4" s="80"/>
      <c r="SSY4" s="80"/>
      <c r="SSZ4" s="80"/>
      <c r="STA4" s="79"/>
      <c r="STB4" s="80"/>
      <c r="STC4" s="80"/>
      <c r="STD4" s="80"/>
      <c r="STE4" s="79"/>
      <c r="STF4" s="80"/>
      <c r="STG4" s="80"/>
      <c r="STH4" s="80"/>
      <c r="STI4" s="79"/>
      <c r="STJ4" s="80"/>
      <c r="STK4" s="80"/>
      <c r="STL4" s="80"/>
      <c r="STM4" s="79"/>
      <c r="STN4" s="80"/>
      <c r="STO4" s="80"/>
      <c r="STP4" s="80"/>
      <c r="STQ4" s="79"/>
      <c r="STR4" s="80"/>
      <c r="STS4" s="80"/>
      <c r="STT4" s="80"/>
      <c r="STU4" s="79"/>
      <c r="STV4" s="80"/>
      <c r="STW4" s="80"/>
      <c r="STX4" s="80"/>
      <c r="STY4" s="79"/>
      <c r="STZ4" s="80"/>
      <c r="SUA4" s="80"/>
      <c r="SUB4" s="80"/>
      <c r="SUC4" s="79"/>
      <c r="SUD4" s="80"/>
      <c r="SUE4" s="80"/>
      <c r="SUF4" s="80"/>
      <c r="SUG4" s="79"/>
      <c r="SUH4" s="80"/>
      <c r="SUI4" s="80"/>
      <c r="SUJ4" s="80"/>
      <c r="SUK4" s="79"/>
      <c r="SUL4" s="80"/>
      <c r="SUM4" s="80"/>
      <c r="SUN4" s="80"/>
      <c r="SUO4" s="79"/>
      <c r="SUP4" s="80"/>
      <c r="SUQ4" s="80"/>
      <c r="SUR4" s="80"/>
      <c r="SUS4" s="79"/>
      <c r="SUT4" s="80"/>
      <c r="SUU4" s="80"/>
      <c r="SUV4" s="80"/>
      <c r="SUW4" s="79"/>
      <c r="SUX4" s="80"/>
      <c r="SUY4" s="80"/>
      <c r="SUZ4" s="80"/>
      <c r="SVA4" s="79"/>
      <c r="SVB4" s="80"/>
      <c r="SVC4" s="80"/>
      <c r="SVD4" s="80"/>
      <c r="SVE4" s="79"/>
      <c r="SVF4" s="80"/>
      <c r="SVG4" s="80"/>
      <c r="SVH4" s="80"/>
      <c r="SVI4" s="79"/>
      <c r="SVJ4" s="80"/>
      <c r="SVK4" s="80"/>
      <c r="SVL4" s="80"/>
      <c r="SVM4" s="79"/>
      <c r="SVN4" s="80"/>
      <c r="SVO4" s="80"/>
      <c r="SVP4" s="80"/>
      <c r="SVQ4" s="79"/>
      <c r="SVR4" s="80"/>
      <c r="SVS4" s="80"/>
      <c r="SVT4" s="80"/>
      <c r="SVU4" s="79"/>
      <c r="SVV4" s="80"/>
      <c r="SVW4" s="80"/>
      <c r="SVX4" s="80"/>
      <c r="SVY4" s="79"/>
      <c r="SVZ4" s="80"/>
      <c r="SWA4" s="80"/>
      <c r="SWB4" s="80"/>
      <c r="SWC4" s="79"/>
      <c r="SWD4" s="80"/>
      <c r="SWE4" s="80"/>
      <c r="SWF4" s="80"/>
      <c r="SWG4" s="79"/>
      <c r="SWH4" s="80"/>
      <c r="SWI4" s="80"/>
      <c r="SWJ4" s="80"/>
      <c r="SWK4" s="79"/>
      <c r="SWL4" s="80"/>
      <c r="SWM4" s="80"/>
      <c r="SWN4" s="80"/>
      <c r="SWO4" s="79"/>
      <c r="SWP4" s="80"/>
      <c r="SWQ4" s="80"/>
      <c r="SWR4" s="80"/>
      <c r="SWS4" s="79"/>
      <c r="SWT4" s="80"/>
      <c r="SWU4" s="80"/>
      <c r="SWV4" s="80"/>
      <c r="SWW4" s="79"/>
      <c r="SWX4" s="80"/>
      <c r="SWY4" s="80"/>
      <c r="SWZ4" s="80"/>
      <c r="SXA4" s="79"/>
      <c r="SXB4" s="80"/>
      <c r="SXC4" s="80"/>
      <c r="SXD4" s="80"/>
      <c r="SXE4" s="79"/>
      <c r="SXF4" s="80"/>
      <c r="SXG4" s="80"/>
      <c r="SXH4" s="80"/>
      <c r="SXI4" s="79"/>
      <c r="SXJ4" s="80"/>
      <c r="SXK4" s="80"/>
      <c r="SXL4" s="80"/>
      <c r="SXM4" s="79"/>
      <c r="SXN4" s="80"/>
      <c r="SXO4" s="80"/>
      <c r="SXP4" s="80"/>
      <c r="SXQ4" s="79"/>
      <c r="SXR4" s="80"/>
      <c r="SXS4" s="80"/>
      <c r="SXT4" s="80"/>
      <c r="SXU4" s="79"/>
      <c r="SXV4" s="80"/>
      <c r="SXW4" s="80"/>
      <c r="SXX4" s="80"/>
      <c r="SXY4" s="79"/>
      <c r="SXZ4" s="80"/>
      <c r="SYA4" s="80"/>
      <c r="SYB4" s="80"/>
      <c r="SYC4" s="79"/>
      <c r="SYD4" s="80"/>
      <c r="SYE4" s="80"/>
      <c r="SYF4" s="80"/>
      <c r="SYG4" s="79"/>
      <c r="SYH4" s="80"/>
      <c r="SYI4" s="80"/>
      <c r="SYJ4" s="80"/>
      <c r="SYK4" s="79"/>
      <c r="SYL4" s="80"/>
      <c r="SYM4" s="80"/>
      <c r="SYN4" s="80"/>
      <c r="SYO4" s="79"/>
      <c r="SYP4" s="80"/>
      <c r="SYQ4" s="80"/>
      <c r="SYR4" s="80"/>
      <c r="SYS4" s="79"/>
      <c r="SYT4" s="80"/>
      <c r="SYU4" s="80"/>
      <c r="SYV4" s="80"/>
      <c r="SYW4" s="79"/>
      <c r="SYX4" s="80"/>
      <c r="SYY4" s="80"/>
      <c r="SYZ4" s="80"/>
      <c r="SZA4" s="79"/>
      <c r="SZB4" s="80"/>
      <c r="SZC4" s="80"/>
      <c r="SZD4" s="80"/>
      <c r="SZE4" s="79"/>
      <c r="SZF4" s="80"/>
      <c r="SZG4" s="80"/>
      <c r="SZH4" s="80"/>
      <c r="SZI4" s="79"/>
      <c r="SZJ4" s="80"/>
      <c r="SZK4" s="80"/>
      <c r="SZL4" s="80"/>
      <c r="SZM4" s="79"/>
      <c r="SZN4" s="80"/>
      <c r="SZO4" s="80"/>
      <c r="SZP4" s="80"/>
      <c r="SZQ4" s="79"/>
      <c r="SZR4" s="80"/>
      <c r="SZS4" s="80"/>
      <c r="SZT4" s="80"/>
      <c r="SZU4" s="79"/>
      <c r="SZV4" s="80"/>
      <c r="SZW4" s="80"/>
      <c r="SZX4" s="80"/>
      <c r="SZY4" s="79"/>
      <c r="SZZ4" s="80"/>
      <c r="TAA4" s="80"/>
      <c r="TAB4" s="80"/>
      <c r="TAC4" s="79"/>
      <c r="TAD4" s="80"/>
      <c r="TAE4" s="80"/>
      <c r="TAF4" s="80"/>
      <c r="TAG4" s="79"/>
      <c r="TAH4" s="80"/>
      <c r="TAI4" s="80"/>
      <c r="TAJ4" s="80"/>
      <c r="TAK4" s="79"/>
      <c r="TAL4" s="80"/>
      <c r="TAM4" s="80"/>
      <c r="TAN4" s="80"/>
      <c r="TAO4" s="79"/>
      <c r="TAP4" s="80"/>
      <c r="TAQ4" s="80"/>
      <c r="TAR4" s="80"/>
      <c r="TAS4" s="79"/>
      <c r="TAT4" s="80"/>
      <c r="TAU4" s="80"/>
      <c r="TAV4" s="80"/>
      <c r="TAW4" s="79"/>
      <c r="TAX4" s="80"/>
      <c r="TAY4" s="80"/>
      <c r="TAZ4" s="80"/>
      <c r="TBA4" s="79"/>
      <c r="TBB4" s="80"/>
      <c r="TBC4" s="80"/>
      <c r="TBD4" s="80"/>
      <c r="TBE4" s="79"/>
      <c r="TBF4" s="80"/>
      <c r="TBG4" s="80"/>
      <c r="TBH4" s="80"/>
      <c r="TBI4" s="79"/>
      <c r="TBJ4" s="80"/>
      <c r="TBK4" s="80"/>
      <c r="TBL4" s="80"/>
      <c r="TBM4" s="79"/>
      <c r="TBN4" s="80"/>
      <c r="TBO4" s="80"/>
      <c r="TBP4" s="80"/>
      <c r="TBQ4" s="79"/>
      <c r="TBR4" s="80"/>
      <c r="TBS4" s="80"/>
      <c r="TBT4" s="80"/>
      <c r="TBU4" s="79"/>
      <c r="TBV4" s="80"/>
      <c r="TBW4" s="80"/>
      <c r="TBX4" s="80"/>
      <c r="TBY4" s="79"/>
      <c r="TBZ4" s="80"/>
      <c r="TCA4" s="80"/>
      <c r="TCB4" s="80"/>
      <c r="TCC4" s="79"/>
      <c r="TCD4" s="80"/>
      <c r="TCE4" s="80"/>
      <c r="TCF4" s="80"/>
      <c r="TCG4" s="79"/>
      <c r="TCH4" s="80"/>
      <c r="TCI4" s="80"/>
      <c r="TCJ4" s="80"/>
      <c r="TCK4" s="79"/>
      <c r="TCL4" s="80"/>
      <c r="TCM4" s="80"/>
      <c r="TCN4" s="80"/>
      <c r="TCO4" s="79"/>
      <c r="TCP4" s="80"/>
      <c r="TCQ4" s="80"/>
      <c r="TCR4" s="80"/>
      <c r="TCS4" s="79"/>
      <c r="TCT4" s="80"/>
      <c r="TCU4" s="80"/>
      <c r="TCV4" s="80"/>
      <c r="TCW4" s="79"/>
      <c r="TCX4" s="80"/>
      <c r="TCY4" s="80"/>
      <c r="TCZ4" s="80"/>
      <c r="TDA4" s="79"/>
      <c r="TDB4" s="80"/>
      <c r="TDC4" s="80"/>
      <c r="TDD4" s="80"/>
      <c r="TDE4" s="79"/>
      <c r="TDF4" s="80"/>
      <c r="TDG4" s="80"/>
      <c r="TDH4" s="80"/>
      <c r="TDI4" s="79"/>
      <c r="TDJ4" s="80"/>
      <c r="TDK4" s="80"/>
      <c r="TDL4" s="80"/>
      <c r="TDM4" s="79"/>
      <c r="TDN4" s="80"/>
      <c r="TDO4" s="80"/>
      <c r="TDP4" s="80"/>
      <c r="TDQ4" s="79"/>
      <c r="TDR4" s="80"/>
      <c r="TDS4" s="80"/>
      <c r="TDT4" s="80"/>
      <c r="TDU4" s="79"/>
      <c r="TDV4" s="80"/>
      <c r="TDW4" s="80"/>
      <c r="TDX4" s="80"/>
      <c r="TDY4" s="79"/>
      <c r="TDZ4" s="80"/>
      <c r="TEA4" s="80"/>
      <c r="TEB4" s="80"/>
      <c r="TEC4" s="79"/>
      <c r="TED4" s="80"/>
      <c r="TEE4" s="80"/>
      <c r="TEF4" s="80"/>
      <c r="TEG4" s="79"/>
      <c r="TEH4" s="80"/>
      <c r="TEI4" s="80"/>
      <c r="TEJ4" s="80"/>
      <c r="TEK4" s="79"/>
      <c r="TEL4" s="80"/>
      <c r="TEM4" s="80"/>
      <c r="TEN4" s="80"/>
      <c r="TEO4" s="79"/>
      <c r="TEP4" s="80"/>
      <c r="TEQ4" s="80"/>
      <c r="TER4" s="80"/>
      <c r="TES4" s="79"/>
      <c r="TET4" s="80"/>
      <c r="TEU4" s="80"/>
      <c r="TEV4" s="80"/>
      <c r="TEW4" s="79"/>
      <c r="TEX4" s="80"/>
      <c r="TEY4" s="80"/>
      <c r="TEZ4" s="80"/>
      <c r="TFA4" s="79"/>
      <c r="TFB4" s="80"/>
      <c r="TFC4" s="80"/>
      <c r="TFD4" s="80"/>
      <c r="TFE4" s="79"/>
      <c r="TFF4" s="80"/>
      <c r="TFG4" s="80"/>
      <c r="TFH4" s="80"/>
      <c r="TFI4" s="79"/>
      <c r="TFJ4" s="80"/>
      <c r="TFK4" s="80"/>
      <c r="TFL4" s="80"/>
      <c r="TFM4" s="79"/>
      <c r="TFN4" s="80"/>
      <c r="TFO4" s="80"/>
      <c r="TFP4" s="80"/>
      <c r="TFQ4" s="79"/>
      <c r="TFR4" s="80"/>
      <c r="TFS4" s="80"/>
      <c r="TFT4" s="80"/>
      <c r="TFU4" s="79"/>
      <c r="TFV4" s="80"/>
      <c r="TFW4" s="80"/>
      <c r="TFX4" s="80"/>
      <c r="TFY4" s="79"/>
      <c r="TFZ4" s="80"/>
      <c r="TGA4" s="80"/>
      <c r="TGB4" s="80"/>
      <c r="TGC4" s="79"/>
      <c r="TGD4" s="80"/>
      <c r="TGE4" s="80"/>
      <c r="TGF4" s="80"/>
      <c r="TGG4" s="79"/>
      <c r="TGH4" s="80"/>
      <c r="TGI4" s="80"/>
      <c r="TGJ4" s="80"/>
      <c r="TGK4" s="79"/>
      <c r="TGL4" s="80"/>
      <c r="TGM4" s="80"/>
      <c r="TGN4" s="80"/>
      <c r="TGO4" s="79"/>
      <c r="TGP4" s="80"/>
      <c r="TGQ4" s="80"/>
      <c r="TGR4" s="80"/>
      <c r="TGS4" s="79"/>
      <c r="TGT4" s="80"/>
      <c r="TGU4" s="80"/>
      <c r="TGV4" s="80"/>
      <c r="TGW4" s="79"/>
      <c r="TGX4" s="80"/>
      <c r="TGY4" s="80"/>
      <c r="TGZ4" s="80"/>
      <c r="THA4" s="79"/>
      <c r="THB4" s="80"/>
      <c r="THC4" s="80"/>
      <c r="THD4" s="80"/>
      <c r="THE4" s="79"/>
      <c r="THF4" s="80"/>
      <c r="THG4" s="80"/>
      <c r="THH4" s="80"/>
      <c r="THI4" s="79"/>
      <c r="THJ4" s="80"/>
      <c r="THK4" s="80"/>
      <c r="THL4" s="80"/>
      <c r="THM4" s="79"/>
      <c r="THN4" s="80"/>
      <c r="THO4" s="80"/>
      <c r="THP4" s="80"/>
      <c r="THQ4" s="79"/>
      <c r="THR4" s="80"/>
      <c r="THS4" s="80"/>
      <c r="THT4" s="80"/>
      <c r="THU4" s="79"/>
      <c r="THV4" s="80"/>
      <c r="THW4" s="80"/>
      <c r="THX4" s="80"/>
      <c r="THY4" s="79"/>
      <c r="THZ4" s="80"/>
      <c r="TIA4" s="80"/>
      <c r="TIB4" s="80"/>
      <c r="TIC4" s="79"/>
      <c r="TID4" s="80"/>
      <c r="TIE4" s="80"/>
      <c r="TIF4" s="80"/>
      <c r="TIG4" s="79"/>
      <c r="TIH4" s="80"/>
      <c r="TII4" s="80"/>
      <c r="TIJ4" s="80"/>
      <c r="TIK4" s="79"/>
      <c r="TIL4" s="80"/>
      <c r="TIM4" s="80"/>
      <c r="TIN4" s="80"/>
      <c r="TIO4" s="79"/>
      <c r="TIP4" s="80"/>
      <c r="TIQ4" s="80"/>
      <c r="TIR4" s="80"/>
      <c r="TIS4" s="79"/>
      <c r="TIT4" s="80"/>
      <c r="TIU4" s="80"/>
      <c r="TIV4" s="80"/>
      <c r="TIW4" s="79"/>
      <c r="TIX4" s="80"/>
      <c r="TIY4" s="80"/>
      <c r="TIZ4" s="80"/>
      <c r="TJA4" s="79"/>
      <c r="TJB4" s="80"/>
      <c r="TJC4" s="80"/>
      <c r="TJD4" s="80"/>
      <c r="TJE4" s="79"/>
      <c r="TJF4" s="80"/>
      <c r="TJG4" s="80"/>
      <c r="TJH4" s="80"/>
      <c r="TJI4" s="79"/>
      <c r="TJJ4" s="80"/>
      <c r="TJK4" s="80"/>
      <c r="TJL4" s="80"/>
      <c r="TJM4" s="79"/>
      <c r="TJN4" s="80"/>
      <c r="TJO4" s="80"/>
      <c r="TJP4" s="80"/>
      <c r="TJQ4" s="79"/>
      <c r="TJR4" s="80"/>
      <c r="TJS4" s="80"/>
      <c r="TJT4" s="80"/>
      <c r="TJU4" s="79"/>
      <c r="TJV4" s="80"/>
      <c r="TJW4" s="80"/>
      <c r="TJX4" s="80"/>
      <c r="TJY4" s="79"/>
      <c r="TJZ4" s="80"/>
      <c r="TKA4" s="80"/>
      <c r="TKB4" s="80"/>
      <c r="TKC4" s="79"/>
      <c r="TKD4" s="80"/>
      <c r="TKE4" s="80"/>
      <c r="TKF4" s="80"/>
      <c r="TKG4" s="79"/>
      <c r="TKH4" s="80"/>
      <c r="TKI4" s="80"/>
      <c r="TKJ4" s="80"/>
      <c r="TKK4" s="79"/>
      <c r="TKL4" s="80"/>
      <c r="TKM4" s="80"/>
      <c r="TKN4" s="80"/>
      <c r="TKO4" s="79"/>
      <c r="TKP4" s="80"/>
      <c r="TKQ4" s="80"/>
      <c r="TKR4" s="80"/>
      <c r="TKS4" s="79"/>
      <c r="TKT4" s="80"/>
      <c r="TKU4" s="80"/>
      <c r="TKV4" s="80"/>
      <c r="TKW4" s="79"/>
      <c r="TKX4" s="80"/>
      <c r="TKY4" s="80"/>
      <c r="TKZ4" s="80"/>
      <c r="TLA4" s="79"/>
      <c r="TLB4" s="80"/>
      <c r="TLC4" s="80"/>
      <c r="TLD4" s="80"/>
      <c r="TLE4" s="79"/>
      <c r="TLF4" s="80"/>
      <c r="TLG4" s="80"/>
      <c r="TLH4" s="80"/>
      <c r="TLI4" s="79"/>
      <c r="TLJ4" s="80"/>
      <c r="TLK4" s="80"/>
      <c r="TLL4" s="80"/>
      <c r="TLM4" s="79"/>
      <c r="TLN4" s="80"/>
      <c r="TLO4" s="80"/>
      <c r="TLP4" s="80"/>
      <c r="TLQ4" s="79"/>
      <c r="TLR4" s="80"/>
      <c r="TLS4" s="80"/>
      <c r="TLT4" s="80"/>
      <c r="TLU4" s="79"/>
      <c r="TLV4" s="80"/>
      <c r="TLW4" s="80"/>
      <c r="TLX4" s="80"/>
      <c r="TLY4" s="79"/>
      <c r="TLZ4" s="80"/>
      <c r="TMA4" s="80"/>
      <c r="TMB4" s="80"/>
      <c r="TMC4" s="79"/>
      <c r="TMD4" s="80"/>
      <c r="TME4" s="80"/>
      <c r="TMF4" s="80"/>
      <c r="TMG4" s="79"/>
      <c r="TMH4" s="80"/>
      <c r="TMI4" s="80"/>
      <c r="TMJ4" s="80"/>
      <c r="TMK4" s="79"/>
      <c r="TML4" s="80"/>
      <c r="TMM4" s="80"/>
      <c r="TMN4" s="80"/>
      <c r="TMO4" s="79"/>
      <c r="TMP4" s="80"/>
      <c r="TMQ4" s="80"/>
      <c r="TMR4" s="80"/>
      <c r="TMS4" s="79"/>
      <c r="TMT4" s="80"/>
      <c r="TMU4" s="80"/>
      <c r="TMV4" s="80"/>
      <c r="TMW4" s="79"/>
      <c r="TMX4" s="80"/>
      <c r="TMY4" s="80"/>
      <c r="TMZ4" s="80"/>
      <c r="TNA4" s="79"/>
      <c r="TNB4" s="80"/>
      <c r="TNC4" s="80"/>
      <c r="TND4" s="80"/>
      <c r="TNE4" s="79"/>
      <c r="TNF4" s="80"/>
      <c r="TNG4" s="80"/>
      <c r="TNH4" s="80"/>
      <c r="TNI4" s="79"/>
      <c r="TNJ4" s="80"/>
      <c r="TNK4" s="80"/>
      <c r="TNL4" s="80"/>
      <c r="TNM4" s="79"/>
      <c r="TNN4" s="80"/>
      <c r="TNO4" s="80"/>
      <c r="TNP4" s="80"/>
      <c r="TNQ4" s="79"/>
      <c r="TNR4" s="80"/>
      <c r="TNS4" s="80"/>
      <c r="TNT4" s="80"/>
      <c r="TNU4" s="79"/>
      <c r="TNV4" s="80"/>
      <c r="TNW4" s="80"/>
      <c r="TNX4" s="80"/>
      <c r="TNY4" s="79"/>
      <c r="TNZ4" s="80"/>
      <c r="TOA4" s="80"/>
      <c r="TOB4" s="80"/>
      <c r="TOC4" s="79"/>
      <c r="TOD4" s="80"/>
      <c r="TOE4" s="80"/>
      <c r="TOF4" s="80"/>
      <c r="TOG4" s="79"/>
      <c r="TOH4" s="80"/>
      <c r="TOI4" s="80"/>
      <c r="TOJ4" s="80"/>
      <c r="TOK4" s="79"/>
      <c r="TOL4" s="80"/>
      <c r="TOM4" s="80"/>
      <c r="TON4" s="80"/>
      <c r="TOO4" s="79"/>
      <c r="TOP4" s="80"/>
      <c r="TOQ4" s="80"/>
      <c r="TOR4" s="80"/>
      <c r="TOS4" s="79"/>
      <c r="TOT4" s="80"/>
      <c r="TOU4" s="80"/>
      <c r="TOV4" s="80"/>
      <c r="TOW4" s="79"/>
      <c r="TOX4" s="80"/>
      <c r="TOY4" s="80"/>
      <c r="TOZ4" s="80"/>
      <c r="TPA4" s="79"/>
      <c r="TPB4" s="80"/>
      <c r="TPC4" s="80"/>
      <c r="TPD4" s="80"/>
      <c r="TPE4" s="79"/>
      <c r="TPF4" s="80"/>
      <c r="TPG4" s="80"/>
      <c r="TPH4" s="80"/>
      <c r="TPI4" s="79"/>
      <c r="TPJ4" s="80"/>
      <c r="TPK4" s="80"/>
      <c r="TPL4" s="80"/>
      <c r="TPM4" s="79"/>
      <c r="TPN4" s="80"/>
      <c r="TPO4" s="80"/>
      <c r="TPP4" s="80"/>
      <c r="TPQ4" s="79"/>
      <c r="TPR4" s="80"/>
      <c r="TPS4" s="80"/>
      <c r="TPT4" s="80"/>
      <c r="TPU4" s="79"/>
      <c r="TPV4" s="80"/>
      <c r="TPW4" s="80"/>
      <c r="TPX4" s="80"/>
      <c r="TPY4" s="79"/>
      <c r="TPZ4" s="80"/>
      <c r="TQA4" s="80"/>
      <c r="TQB4" s="80"/>
      <c r="TQC4" s="79"/>
      <c r="TQD4" s="80"/>
      <c r="TQE4" s="80"/>
      <c r="TQF4" s="80"/>
      <c r="TQG4" s="79"/>
      <c r="TQH4" s="80"/>
      <c r="TQI4" s="80"/>
      <c r="TQJ4" s="80"/>
      <c r="TQK4" s="79"/>
      <c r="TQL4" s="80"/>
      <c r="TQM4" s="80"/>
      <c r="TQN4" s="80"/>
      <c r="TQO4" s="79"/>
      <c r="TQP4" s="80"/>
      <c r="TQQ4" s="80"/>
      <c r="TQR4" s="80"/>
      <c r="TQS4" s="79"/>
      <c r="TQT4" s="80"/>
      <c r="TQU4" s="80"/>
      <c r="TQV4" s="80"/>
      <c r="TQW4" s="79"/>
      <c r="TQX4" s="80"/>
      <c r="TQY4" s="80"/>
      <c r="TQZ4" s="80"/>
      <c r="TRA4" s="79"/>
      <c r="TRB4" s="80"/>
      <c r="TRC4" s="80"/>
      <c r="TRD4" s="80"/>
      <c r="TRE4" s="79"/>
      <c r="TRF4" s="80"/>
      <c r="TRG4" s="80"/>
      <c r="TRH4" s="80"/>
      <c r="TRI4" s="79"/>
      <c r="TRJ4" s="80"/>
      <c r="TRK4" s="80"/>
      <c r="TRL4" s="80"/>
      <c r="TRM4" s="79"/>
      <c r="TRN4" s="80"/>
      <c r="TRO4" s="80"/>
      <c r="TRP4" s="80"/>
      <c r="TRQ4" s="79"/>
      <c r="TRR4" s="80"/>
      <c r="TRS4" s="80"/>
      <c r="TRT4" s="80"/>
      <c r="TRU4" s="79"/>
      <c r="TRV4" s="80"/>
      <c r="TRW4" s="80"/>
      <c r="TRX4" s="80"/>
      <c r="TRY4" s="79"/>
      <c r="TRZ4" s="80"/>
      <c r="TSA4" s="80"/>
      <c r="TSB4" s="80"/>
      <c r="TSC4" s="79"/>
      <c r="TSD4" s="80"/>
      <c r="TSE4" s="80"/>
      <c r="TSF4" s="80"/>
      <c r="TSG4" s="79"/>
      <c r="TSH4" s="80"/>
      <c r="TSI4" s="80"/>
      <c r="TSJ4" s="80"/>
      <c r="TSK4" s="79"/>
      <c r="TSL4" s="80"/>
      <c r="TSM4" s="80"/>
      <c r="TSN4" s="80"/>
      <c r="TSO4" s="79"/>
      <c r="TSP4" s="80"/>
      <c r="TSQ4" s="80"/>
      <c r="TSR4" s="80"/>
      <c r="TSS4" s="79"/>
      <c r="TST4" s="80"/>
      <c r="TSU4" s="80"/>
      <c r="TSV4" s="80"/>
      <c r="TSW4" s="79"/>
      <c r="TSX4" s="80"/>
      <c r="TSY4" s="80"/>
      <c r="TSZ4" s="80"/>
      <c r="TTA4" s="79"/>
      <c r="TTB4" s="80"/>
      <c r="TTC4" s="80"/>
      <c r="TTD4" s="80"/>
      <c r="TTE4" s="79"/>
      <c r="TTF4" s="80"/>
      <c r="TTG4" s="80"/>
      <c r="TTH4" s="80"/>
      <c r="TTI4" s="79"/>
      <c r="TTJ4" s="80"/>
      <c r="TTK4" s="80"/>
      <c r="TTL4" s="80"/>
      <c r="TTM4" s="79"/>
      <c r="TTN4" s="80"/>
      <c r="TTO4" s="80"/>
      <c r="TTP4" s="80"/>
      <c r="TTQ4" s="79"/>
      <c r="TTR4" s="80"/>
      <c r="TTS4" s="80"/>
      <c r="TTT4" s="80"/>
      <c r="TTU4" s="79"/>
      <c r="TTV4" s="80"/>
      <c r="TTW4" s="80"/>
      <c r="TTX4" s="80"/>
      <c r="TTY4" s="79"/>
      <c r="TTZ4" s="80"/>
      <c r="TUA4" s="80"/>
      <c r="TUB4" s="80"/>
      <c r="TUC4" s="79"/>
      <c r="TUD4" s="80"/>
      <c r="TUE4" s="80"/>
      <c r="TUF4" s="80"/>
      <c r="TUG4" s="79"/>
      <c r="TUH4" s="80"/>
      <c r="TUI4" s="80"/>
      <c r="TUJ4" s="80"/>
      <c r="TUK4" s="79"/>
      <c r="TUL4" s="80"/>
      <c r="TUM4" s="80"/>
      <c r="TUN4" s="80"/>
      <c r="TUO4" s="79"/>
      <c r="TUP4" s="80"/>
      <c r="TUQ4" s="80"/>
      <c r="TUR4" s="80"/>
      <c r="TUS4" s="79"/>
      <c r="TUT4" s="80"/>
      <c r="TUU4" s="80"/>
      <c r="TUV4" s="80"/>
      <c r="TUW4" s="79"/>
      <c r="TUX4" s="80"/>
      <c r="TUY4" s="80"/>
      <c r="TUZ4" s="80"/>
      <c r="TVA4" s="79"/>
      <c r="TVB4" s="80"/>
      <c r="TVC4" s="80"/>
      <c r="TVD4" s="80"/>
      <c r="TVE4" s="79"/>
      <c r="TVF4" s="80"/>
      <c r="TVG4" s="80"/>
      <c r="TVH4" s="80"/>
      <c r="TVI4" s="79"/>
      <c r="TVJ4" s="80"/>
      <c r="TVK4" s="80"/>
      <c r="TVL4" s="80"/>
      <c r="TVM4" s="79"/>
      <c r="TVN4" s="80"/>
      <c r="TVO4" s="80"/>
      <c r="TVP4" s="80"/>
      <c r="TVQ4" s="79"/>
      <c r="TVR4" s="80"/>
      <c r="TVS4" s="80"/>
      <c r="TVT4" s="80"/>
      <c r="TVU4" s="79"/>
      <c r="TVV4" s="80"/>
      <c r="TVW4" s="80"/>
      <c r="TVX4" s="80"/>
      <c r="TVY4" s="79"/>
      <c r="TVZ4" s="80"/>
      <c r="TWA4" s="80"/>
      <c r="TWB4" s="80"/>
      <c r="TWC4" s="79"/>
      <c r="TWD4" s="80"/>
      <c r="TWE4" s="80"/>
      <c r="TWF4" s="80"/>
      <c r="TWG4" s="79"/>
      <c r="TWH4" s="80"/>
      <c r="TWI4" s="80"/>
      <c r="TWJ4" s="80"/>
      <c r="TWK4" s="79"/>
      <c r="TWL4" s="80"/>
      <c r="TWM4" s="80"/>
      <c r="TWN4" s="80"/>
      <c r="TWO4" s="79"/>
      <c r="TWP4" s="80"/>
      <c r="TWQ4" s="80"/>
      <c r="TWR4" s="80"/>
      <c r="TWS4" s="79"/>
      <c r="TWT4" s="80"/>
      <c r="TWU4" s="80"/>
      <c r="TWV4" s="80"/>
      <c r="TWW4" s="79"/>
      <c r="TWX4" s="80"/>
      <c r="TWY4" s="80"/>
      <c r="TWZ4" s="80"/>
      <c r="TXA4" s="79"/>
      <c r="TXB4" s="80"/>
      <c r="TXC4" s="80"/>
      <c r="TXD4" s="80"/>
      <c r="TXE4" s="79"/>
      <c r="TXF4" s="80"/>
      <c r="TXG4" s="80"/>
      <c r="TXH4" s="80"/>
      <c r="TXI4" s="79"/>
      <c r="TXJ4" s="80"/>
      <c r="TXK4" s="80"/>
      <c r="TXL4" s="80"/>
      <c r="TXM4" s="79"/>
      <c r="TXN4" s="80"/>
      <c r="TXO4" s="80"/>
      <c r="TXP4" s="80"/>
      <c r="TXQ4" s="79"/>
      <c r="TXR4" s="80"/>
      <c r="TXS4" s="80"/>
      <c r="TXT4" s="80"/>
      <c r="TXU4" s="79"/>
      <c r="TXV4" s="80"/>
      <c r="TXW4" s="80"/>
      <c r="TXX4" s="80"/>
      <c r="TXY4" s="79"/>
      <c r="TXZ4" s="80"/>
      <c r="TYA4" s="80"/>
      <c r="TYB4" s="80"/>
      <c r="TYC4" s="79"/>
      <c r="TYD4" s="80"/>
      <c r="TYE4" s="80"/>
      <c r="TYF4" s="80"/>
      <c r="TYG4" s="79"/>
      <c r="TYH4" s="80"/>
      <c r="TYI4" s="80"/>
      <c r="TYJ4" s="80"/>
      <c r="TYK4" s="79"/>
      <c r="TYL4" s="80"/>
      <c r="TYM4" s="80"/>
      <c r="TYN4" s="80"/>
      <c r="TYO4" s="79"/>
      <c r="TYP4" s="80"/>
      <c r="TYQ4" s="80"/>
      <c r="TYR4" s="80"/>
      <c r="TYS4" s="79"/>
      <c r="TYT4" s="80"/>
      <c r="TYU4" s="80"/>
      <c r="TYV4" s="80"/>
      <c r="TYW4" s="79"/>
      <c r="TYX4" s="80"/>
      <c r="TYY4" s="80"/>
      <c r="TYZ4" s="80"/>
      <c r="TZA4" s="79"/>
      <c r="TZB4" s="80"/>
      <c r="TZC4" s="80"/>
      <c r="TZD4" s="80"/>
      <c r="TZE4" s="79"/>
      <c r="TZF4" s="80"/>
      <c r="TZG4" s="80"/>
      <c r="TZH4" s="80"/>
      <c r="TZI4" s="79"/>
      <c r="TZJ4" s="80"/>
      <c r="TZK4" s="80"/>
      <c r="TZL4" s="80"/>
      <c r="TZM4" s="79"/>
      <c r="TZN4" s="80"/>
      <c r="TZO4" s="80"/>
      <c r="TZP4" s="80"/>
      <c r="TZQ4" s="79"/>
      <c r="TZR4" s="80"/>
      <c r="TZS4" s="80"/>
      <c r="TZT4" s="80"/>
      <c r="TZU4" s="79"/>
      <c r="TZV4" s="80"/>
      <c r="TZW4" s="80"/>
      <c r="TZX4" s="80"/>
      <c r="TZY4" s="79"/>
      <c r="TZZ4" s="80"/>
      <c r="UAA4" s="80"/>
      <c r="UAB4" s="80"/>
      <c r="UAC4" s="79"/>
      <c r="UAD4" s="80"/>
      <c r="UAE4" s="80"/>
      <c r="UAF4" s="80"/>
      <c r="UAG4" s="79"/>
      <c r="UAH4" s="80"/>
      <c r="UAI4" s="80"/>
      <c r="UAJ4" s="80"/>
      <c r="UAK4" s="79"/>
      <c r="UAL4" s="80"/>
      <c r="UAM4" s="80"/>
      <c r="UAN4" s="80"/>
      <c r="UAO4" s="79"/>
      <c r="UAP4" s="80"/>
      <c r="UAQ4" s="80"/>
      <c r="UAR4" s="80"/>
      <c r="UAS4" s="79"/>
      <c r="UAT4" s="80"/>
      <c r="UAU4" s="80"/>
      <c r="UAV4" s="80"/>
      <c r="UAW4" s="79"/>
      <c r="UAX4" s="80"/>
      <c r="UAY4" s="80"/>
      <c r="UAZ4" s="80"/>
      <c r="UBA4" s="79"/>
      <c r="UBB4" s="80"/>
      <c r="UBC4" s="80"/>
      <c r="UBD4" s="80"/>
      <c r="UBE4" s="79"/>
      <c r="UBF4" s="80"/>
      <c r="UBG4" s="80"/>
      <c r="UBH4" s="80"/>
      <c r="UBI4" s="79"/>
      <c r="UBJ4" s="80"/>
      <c r="UBK4" s="80"/>
      <c r="UBL4" s="80"/>
      <c r="UBM4" s="79"/>
      <c r="UBN4" s="80"/>
      <c r="UBO4" s="80"/>
      <c r="UBP4" s="80"/>
      <c r="UBQ4" s="79"/>
      <c r="UBR4" s="80"/>
      <c r="UBS4" s="80"/>
      <c r="UBT4" s="80"/>
      <c r="UBU4" s="79"/>
      <c r="UBV4" s="80"/>
      <c r="UBW4" s="80"/>
      <c r="UBX4" s="80"/>
      <c r="UBY4" s="79"/>
      <c r="UBZ4" s="80"/>
      <c r="UCA4" s="80"/>
      <c r="UCB4" s="80"/>
      <c r="UCC4" s="79"/>
      <c r="UCD4" s="80"/>
      <c r="UCE4" s="80"/>
      <c r="UCF4" s="80"/>
      <c r="UCG4" s="79"/>
      <c r="UCH4" s="80"/>
      <c r="UCI4" s="80"/>
      <c r="UCJ4" s="80"/>
      <c r="UCK4" s="79"/>
      <c r="UCL4" s="80"/>
      <c r="UCM4" s="80"/>
      <c r="UCN4" s="80"/>
      <c r="UCO4" s="79"/>
      <c r="UCP4" s="80"/>
      <c r="UCQ4" s="80"/>
      <c r="UCR4" s="80"/>
      <c r="UCS4" s="79"/>
      <c r="UCT4" s="80"/>
      <c r="UCU4" s="80"/>
      <c r="UCV4" s="80"/>
      <c r="UCW4" s="79"/>
      <c r="UCX4" s="80"/>
      <c r="UCY4" s="80"/>
      <c r="UCZ4" s="80"/>
      <c r="UDA4" s="79"/>
      <c r="UDB4" s="80"/>
      <c r="UDC4" s="80"/>
      <c r="UDD4" s="80"/>
      <c r="UDE4" s="79"/>
      <c r="UDF4" s="80"/>
      <c r="UDG4" s="80"/>
      <c r="UDH4" s="80"/>
      <c r="UDI4" s="79"/>
      <c r="UDJ4" s="80"/>
      <c r="UDK4" s="80"/>
      <c r="UDL4" s="80"/>
      <c r="UDM4" s="79"/>
      <c r="UDN4" s="80"/>
      <c r="UDO4" s="80"/>
      <c r="UDP4" s="80"/>
      <c r="UDQ4" s="79"/>
      <c r="UDR4" s="80"/>
      <c r="UDS4" s="80"/>
      <c r="UDT4" s="80"/>
      <c r="UDU4" s="79"/>
      <c r="UDV4" s="80"/>
      <c r="UDW4" s="80"/>
      <c r="UDX4" s="80"/>
      <c r="UDY4" s="79"/>
      <c r="UDZ4" s="80"/>
      <c r="UEA4" s="80"/>
      <c r="UEB4" s="80"/>
      <c r="UEC4" s="79"/>
      <c r="UED4" s="80"/>
      <c r="UEE4" s="80"/>
      <c r="UEF4" s="80"/>
      <c r="UEG4" s="79"/>
      <c r="UEH4" s="80"/>
      <c r="UEI4" s="80"/>
      <c r="UEJ4" s="80"/>
      <c r="UEK4" s="79"/>
      <c r="UEL4" s="80"/>
      <c r="UEM4" s="80"/>
      <c r="UEN4" s="80"/>
      <c r="UEO4" s="79"/>
      <c r="UEP4" s="80"/>
      <c r="UEQ4" s="80"/>
      <c r="UER4" s="80"/>
      <c r="UES4" s="79"/>
      <c r="UET4" s="80"/>
      <c r="UEU4" s="80"/>
      <c r="UEV4" s="80"/>
      <c r="UEW4" s="79"/>
      <c r="UEX4" s="80"/>
      <c r="UEY4" s="80"/>
      <c r="UEZ4" s="80"/>
      <c r="UFA4" s="79"/>
      <c r="UFB4" s="80"/>
      <c r="UFC4" s="80"/>
      <c r="UFD4" s="80"/>
      <c r="UFE4" s="79"/>
      <c r="UFF4" s="80"/>
      <c r="UFG4" s="80"/>
      <c r="UFH4" s="80"/>
      <c r="UFI4" s="79"/>
      <c r="UFJ4" s="80"/>
      <c r="UFK4" s="80"/>
      <c r="UFL4" s="80"/>
      <c r="UFM4" s="79"/>
      <c r="UFN4" s="80"/>
      <c r="UFO4" s="80"/>
      <c r="UFP4" s="80"/>
      <c r="UFQ4" s="79"/>
      <c r="UFR4" s="80"/>
      <c r="UFS4" s="80"/>
      <c r="UFT4" s="80"/>
      <c r="UFU4" s="79"/>
      <c r="UFV4" s="80"/>
      <c r="UFW4" s="80"/>
      <c r="UFX4" s="80"/>
      <c r="UFY4" s="79"/>
      <c r="UFZ4" s="80"/>
      <c r="UGA4" s="80"/>
      <c r="UGB4" s="80"/>
      <c r="UGC4" s="79"/>
      <c r="UGD4" s="80"/>
      <c r="UGE4" s="80"/>
      <c r="UGF4" s="80"/>
      <c r="UGG4" s="79"/>
      <c r="UGH4" s="80"/>
      <c r="UGI4" s="80"/>
      <c r="UGJ4" s="80"/>
      <c r="UGK4" s="79"/>
      <c r="UGL4" s="80"/>
      <c r="UGM4" s="80"/>
      <c r="UGN4" s="80"/>
      <c r="UGO4" s="79"/>
      <c r="UGP4" s="80"/>
      <c r="UGQ4" s="80"/>
      <c r="UGR4" s="80"/>
      <c r="UGS4" s="79"/>
      <c r="UGT4" s="80"/>
      <c r="UGU4" s="80"/>
      <c r="UGV4" s="80"/>
      <c r="UGW4" s="79"/>
      <c r="UGX4" s="80"/>
      <c r="UGY4" s="80"/>
      <c r="UGZ4" s="80"/>
      <c r="UHA4" s="79"/>
      <c r="UHB4" s="80"/>
      <c r="UHC4" s="80"/>
      <c r="UHD4" s="80"/>
      <c r="UHE4" s="79"/>
      <c r="UHF4" s="80"/>
      <c r="UHG4" s="80"/>
      <c r="UHH4" s="80"/>
      <c r="UHI4" s="79"/>
      <c r="UHJ4" s="80"/>
      <c r="UHK4" s="80"/>
      <c r="UHL4" s="80"/>
      <c r="UHM4" s="79"/>
      <c r="UHN4" s="80"/>
      <c r="UHO4" s="80"/>
      <c r="UHP4" s="80"/>
      <c r="UHQ4" s="79"/>
      <c r="UHR4" s="80"/>
      <c r="UHS4" s="80"/>
      <c r="UHT4" s="80"/>
      <c r="UHU4" s="79"/>
      <c r="UHV4" s="80"/>
      <c r="UHW4" s="80"/>
      <c r="UHX4" s="80"/>
      <c r="UHY4" s="79"/>
      <c r="UHZ4" s="80"/>
      <c r="UIA4" s="80"/>
      <c r="UIB4" s="80"/>
      <c r="UIC4" s="79"/>
      <c r="UID4" s="80"/>
      <c r="UIE4" s="80"/>
      <c r="UIF4" s="80"/>
      <c r="UIG4" s="79"/>
      <c r="UIH4" s="80"/>
      <c r="UII4" s="80"/>
      <c r="UIJ4" s="80"/>
      <c r="UIK4" s="79"/>
      <c r="UIL4" s="80"/>
      <c r="UIM4" s="80"/>
      <c r="UIN4" s="80"/>
      <c r="UIO4" s="79"/>
      <c r="UIP4" s="80"/>
      <c r="UIQ4" s="80"/>
      <c r="UIR4" s="80"/>
      <c r="UIS4" s="79"/>
      <c r="UIT4" s="80"/>
      <c r="UIU4" s="80"/>
      <c r="UIV4" s="80"/>
      <c r="UIW4" s="79"/>
      <c r="UIX4" s="80"/>
      <c r="UIY4" s="80"/>
      <c r="UIZ4" s="80"/>
      <c r="UJA4" s="79"/>
      <c r="UJB4" s="80"/>
      <c r="UJC4" s="80"/>
      <c r="UJD4" s="80"/>
      <c r="UJE4" s="79"/>
      <c r="UJF4" s="80"/>
      <c r="UJG4" s="80"/>
      <c r="UJH4" s="80"/>
      <c r="UJI4" s="79"/>
      <c r="UJJ4" s="80"/>
      <c r="UJK4" s="80"/>
      <c r="UJL4" s="80"/>
      <c r="UJM4" s="79"/>
      <c r="UJN4" s="80"/>
      <c r="UJO4" s="80"/>
      <c r="UJP4" s="80"/>
      <c r="UJQ4" s="79"/>
      <c r="UJR4" s="80"/>
      <c r="UJS4" s="80"/>
      <c r="UJT4" s="80"/>
      <c r="UJU4" s="79"/>
      <c r="UJV4" s="80"/>
      <c r="UJW4" s="80"/>
      <c r="UJX4" s="80"/>
      <c r="UJY4" s="79"/>
      <c r="UJZ4" s="80"/>
      <c r="UKA4" s="80"/>
      <c r="UKB4" s="80"/>
      <c r="UKC4" s="79"/>
      <c r="UKD4" s="80"/>
      <c r="UKE4" s="80"/>
      <c r="UKF4" s="80"/>
      <c r="UKG4" s="79"/>
      <c r="UKH4" s="80"/>
      <c r="UKI4" s="80"/>
      <c r="UKJ4" s="80"/>
      <c r="UKK4" s="79"/>
      <c r="UKL4" s="80"/>
      <c r="UKM4" s="80"/>
      <c r="UKN4" s="80"/>
      <c r="UKO4" s="79"/>
      <c r="UKP4" s="80"/>
      <c r="UKQ4" s="80"/>
      <c r="UKR4" s="80"/>
      <c r="UKS4" s="79"/>
      <c r="UKT4" s="80"/>
      <c r="UKU4" s="80"/>
      <c r="UKV4" s="80"/>
      <c r="UKW4" s="79"/>
      <c r="UKX4" s="80"/>
      <c r="UKY4" s="80"/>
      <c r="UKZ4" s="80"/>
      <c r="ULA4" s="79"/>
      <c r="ULB4" s="80"/>
      <c r="ULC4" s="80"/>
      <c r="ULD4" s="80"/>
      <c r="ULE4" s="79"/>
      <c r="ULF4" s="80"/>
      <c r="ULG4" s="80"/>
      <c r="ULH4" s="80"/>
      <c r="ULI4" s="79"/>
      <c r="ULJ4" s="80"/>
      <c r="ULK4" s="80"/>
      <c r="ULL4" s="80"/>
      <c r="ULM4" s="79"/>
      <c r="ULN4" s="80"/>
      <c r="ULO4" s="80"/>
      <c r="ULP4" s="80"/>
      <c r="ULQ4" s="79"/>
      <c r="ULR4" s="80"/>
      <c r="ULS4" s="80"/>
      <c r="ULT4" s="80"/>
      <c r="ULU4" s="79"/>
      <c r="ULV4" s="80"/>
      <c r="ULW4" s="80"/>
      <c r="ULX4" s="80"/>
      <c r="ULY4" s="79"/>
      <c r="ULZ4" s="80"/>
      <c r="UMA4" s="80"/>
      <c r="UMB4" s="80"/>
      <c r="UMC4" s="79"/>
      <c r="UMD4" s="80"/>
      <c r="UME4" s="80"/>
      <c r="UMF4" s="80"/>
      <c r="UMG4" s="79"/>
      <c r="UMH4" s="80"/>
      <c r="UMI4" s="80"/>
      <c r="UMJ4" s="80"/>
      <c r="UMK4" s="79"/>
      <c r="UML4" s="80"/>
      <c r="UMM4" s="80"/>
      <c r="UMN4" s="80"/>
      <c r="UMO4" s="79"/>
      <c r="UMP4" s="80"/>
      <c r="UMQ4" s="80"/>
      <c r="UMR4" s="80"/>
      <c r="UMS4" s="79"/>
      <c r="UMT4" s="80"/>
      <c r="UMU4" s="80"/>
      <c r="UMV4" s="80"/>
      <c r="UMW4" s="79"/>
      <c r="UMX4" s="80"/>
      <c r="UMY4" s="80"/>
      <c r="UMZ4" s="80"/>
      <c r="UNA4" s="79"/>
      <c r="UNB4" s="80"/>
      <c r="UNC4" s="80"/>
      <c r="UND4" s="80"/>
      <c r="UNE4" s="79"/>
      <c r="UNF4" s="80"/>
      <c r="UNG4" s="80"/>
      <c r="UNH4" s="80"/>
      <c r="UNI4" s="79"/>
      <c r="UNJ4" s="80"/>
      <c r="UNK4" s="80"/>
      <c r="UNL4" s="80"/>
      <c r="UNM4" s="79"/>
      <c r="UNN4" s="80"/>
      <c r="UNO4" s="80"/>
      <c r="UNP4" s="80"/>
      <c r="UNQ4" s="79"/>
      <c r="UNR4" s="80"/>
      <c r="UNS4" s="80"/>
      <c r="UNT4" s="80"/>
      <c r="UNU4" s="79"/>
      <c r="UNV4" s="80"/>
      <c r="UNW4" s="80"/>
      <c r="UNX4" s="80"/>
      <c r="UNY4" s="79"/>
      <c r="UNZ4" s="80"/>
      <c r="UOA4" s="80"/>
      <c r="UOB4" s="80"/>
      <c r="UOC4" s="79"/>
      <c r="UOD4" s="80"/>
      <c r="UOE4" s="80"/>
      <c r="UOF4" s="80"/>
      <c r="UOG4" s="79"/>
      <c r="UOH4" s="80"/>
      <c r="UOI4" s="80"/>
      <c r="UOJ4" s="80"/>
      <c r="UOK4" s="79"/>
      <c r="UOL4" s="80"/>
      <c r="UOM4" s="80"/>
      <c r="UON4" s="80"/>
      <c r="UOO4" s="79"/>
      <c r="UOP4" s="80"/>
      <c r="UOQ4" s="80"/>
      <c r="UOR4" s="80"/>
      <c r="UOS4" s="79"/>
      <c r="UOT4" s="80"/>
      <c r="UOU4" s="80"/>
      <c r="UOV4" s="80"/>
      <c r="UOW4" s="79"/>
      <c r="UOX4" s="80"/>
      <c r="UOY4" s="80"/>
      <c r="UOZ4" s="80"/>
      <c r="UPA4" s="79"/>
      <c r="UPB4" s="80"/>
      <c r="UPC4" s="80"/>
      <c r="UPD4" s="80"/>
      <c r="UPE4" s="79"/>
      <c r="UPF4" s="80"/>
      <c r="UPG4" s="80"/>
      <c r="UPH4" s="80"/>
      <c r="UPI4" s="79"/>
      <c r="UPJ4" s="80"/>
      <c r="UPK4" s="80"/>
      <c r="UPL4" s="80"/>
      <c r="UPM4" s="79"/>
      <c r="UPN4" s="80"/>
      <c r="UPO4" s="80"/>
      <c r="UPP4" s="80"/>
      <c r="UPQ4" s="79"/>
      <c r="UPR4" s="80"/>
      <c r="UPS4" s="80"/>
      <c r="UPT4" s="80"/>
      <c r="UPU4" s="79"/>
      <c r="UPV4" s="80"/>
      <c r="UPW4" s="80"/>
      <c r="UPX4" s="80"/>
      <c r="UPY4" s="79"/>
      <c r="UPZ4" s="80"/>
      <c r="UQA4" s="80"/>
      <c r="UQB4" s="80"/>
      <c r="UQC4" s="79"/>
      <c r="UQD4" s="80"/>
      <c r="UQE4" s="80"/>
      <c r="UQF4" s="80"/>
      <c r="UQG4" s="79"/>
      <c r="UQH4" s="80"/>
      <c r="UQI4" s="80"/>
      <c r="UQJ4" s="80"/>
      <c r="UQK4" s="79"/>
      <c r="UQL4" s="80"/>
      <c r="UQM4" s="80"/>
      <c r="UQN4" s="80"/>
      <c r="UQO4" s="79"/>
      <c r="UQP4" s="80"/>
      <c r="UQQ4" s="80"/>
      <c r="UQR4" s="80"/>
      <c r="UQS4" s="79"/>
      <c r="UQT4" s="80"/>
      <c r="UQU4" s="80"/>
      <c r="UQV4" s="80"/>
      <c r="UQW4" s="79"/>
      <c r="UQX4" s="80"/>
      <c r="UQY4" s="80"/>
      <c r="UQZ4" s="80"/>
      <c r="URA4" s="79"/>
      <c r="URB4" s="80"/>
      <c r="URC4" s="80"/>
      <c r="URD4" s="80"/>
      <c r="URE4" s="79"/>
      <c r="URF4" s="80"/>
      <c r="URG4" s="80"/>
      <c r="URH4" s="80"/>
      <c r="URI4" s="79"/>
      <c r="URJ4" s="80"/>
      <c r="URK4" s="80"/>
      <c r="URL4" s="80"/>
      <c r="URM4" s="79"/>
      <c r="URN4" s="80"/>
      <c r="URO4" s="80"/>
      <c r="URP4" s="80"/>
      <c r="URQ4" s="79"/>
      <c r="URR4" s="80"/>
      <c r="URS4" s="80"/>
      <c r="URT4" s="80"/>
      <c r="URU4" s="79"/>
      <c r="URV4" s="80"/>
      <c r="URW4" s="80"/>
      <c r="URX4" s="80"/>
      <c r="URY4" s="79"/>
      <c r="URZ4" s="80"/>
      <c r="USA4" s="80"/>
      <c r="USB4" s="80"/>
      <c r="USC4" s="79"/>
      <c r="USD4" s="80"/>
      <c r="USE4" s="80"/>
      <c r="USF4" s="80"/>
      <c r="USG4" s="79"/>
      <c r="USH4" s="80"/>
      <c r="USI4" s="80"/>
      <c r="USJ4" s="80"/>
      <c r="USK4" s="79"/>
      <c r="USL4" s="80"/>
      <c r="USM4" s="80"/>
      <c r="USN4" s="80"/>
      <c r="USO4" s="79"/>
      <c r="USP4" s="80"/>
      <c r="USQ4" s="80"/>
      <c r="USR4" s="80"/>
      <c r="USS4" s="79"/>
      <c r="UST4" s="80"/>
      <c r="USU4" s="80"/>
      <c r="USV4" s="80"/>
      <c r="USW4" s="79"/>
      <c r="USX4" s="80"/>
      <c r="USY4" s="80"/>
      <c r="USZ4" s="80"/>
      <c r="UTA4" s="79"/>
      <c r="UTB4" s="80"/>
      <c r="UTC4" s="80"/>
      <c r="UTD4" s="80"/>
      <c r="UTE4" s="79"/>
      <c r="UTF4" s="80"/>
      <c r="UTG4" s="80"/>
      <c r="UTH4" s="80"/>
      <c r="UTI4" s="79"/>
      <c r="UTJ4" s="80"/>
      <c r="UTK4" s="80"/>
      <c r="UTL4" s="80"/>
      <c r="UTM4" s="79"/>
      <c r="UTN4" s="80"/>
      <c r="UTO4" s="80"/>
      <c r="UTP4" s="80"/>
      <c r="UTQ4" s="79"/>
      <c r="UTR4" s="80"/>
      <c r="UTS4" s="80"/>
      <c r="UTT4" s="80"/>
      <c r="UTU4" s="79"/>
      <c r="UTV4" s="80"/>
      <c r="UTW4" s="80"/>
      <c r="UTX4" s="80"/>
      <c r="UTY4" s="79"/>
      <c r="UTZ4" s="80"/>
      <c r="UUA4" s="80"/>
      <c r="UUB4" s="80"/>
      <c r="UUC4" s="79"/>
      <c r="UUD4" s="80"/>
      <c r="UUE4" s="80"/>
      <c r="UUF4" s="80"/>
      <c r="UUG4" s="79"/>
      <c r="UUH4" s="80"/>
      <c r="UUI4" s="80"/>
      <c r="UUJ4" s="80"/>
      <c r="UUK4" s="79"/>
      <c r="UUL4" s="80"/>
      <c r="UUM4" s="80"/>
      <c r="UUN4" s="80"/>
      <c r="UUO4" s="79"/>
      <c r="UUP4" s="80"/>
      <c r="UUQ4" s="80"/>
      <c r="UUR4" s="80"/>
      <c r="UUS4" s="79"/>
      <c r="UUT4" s="80"/>
      <c r="UUU4" s="80"/>
      <c r="UUV4" s="80"/>
      <c r="UUW4" s="79"/>
      <c r="UUX4" s="80"/>
      <c r="UUY4" s="80"/>
      <c r="UUZ4" s="80"/>
      <c r="UVA4" s="79"/>
      <c r="UVB4" s="80"/>
      <c r="UVC4" s="80"/>
      <c r="UVD4" s="80"/>
      <c r="UVE4" s="79"/>
      <c r="UVF4" s="80"/>
      <c r="UVG4" s="80"/>
      <c r="UVH4" s="80"/>
      <c r="UVI4" s="79"/>
      <c r="UVJ4" s="80"/>
      <c r="UVK4" s="80"/>
      <c r="UVL4" s="80"/>
      <c r="UVM4" s="79"/>
      <c r="UVN4" s="80"/>
      <c r="UVO4" s="80"/>
      <c r="UVP4" s="80"/>
      <c r="UVQ4" s="79"/>
      <c r="UVR4" s="80"/>
      <c r="UVS4" s="80"/>
      <c r="UVT4" s="80"/>
      <c r="UVU4" s="79"/>
      <c r="UVV4" s="80"/>
      <c r="UVW4" s="80"/>
      <c r="UVX4" s="80"/>
      <c r="UVY4" s="79"/>
      <c r="UVZ4" s="80"/>
      <c r="UWA4" s="80"/>
      <c r="UWB4" s="80"/>
      <c r="UWC4" s="79"/>
      <c r="UWD4" s="80"/>
      <c r="UWE4" s="80"/>
      <c r="UWF4" s="80"/>
      <c r="UWG4" s="79"/>
      <c r="UWH4" s="80"/>
      <c r="UWI4" s="80"/>
      <c r="UWJ4" s="80"/>
      <c r="UWK4" s="79"/>
      <c r="UWL4" s="80"/>
      <c r="UWM4" s="80"/>
      <c r="UWN4" s="80"/>
      <c r="UWO4" s="79"/>
      <c r="UWP4" s="80"/>
      <c r="UWQ4" s="80"/>
      <c r="UWR4" s="80"/>
      <c r="UWS4" s="79"/>
      <c r="UWT4" s="80"/>
      <c r="UWU4" s="80"/>
      <c r="UWV4" s="80"/>
      <c r="UWW4" s="79"/>
      <c r="UWX4" s="80"/>
      <c r="UWY4" s="80"/>
      <c r="UWZ4" s="80"/>
      <c r="UXA4" s="79"/>
      <c r="UXB4" s="80"/>
      <c r="UXC4" s="80"/>
      <c r="UXD4" s="80"/>
      <c r="UXE4" s="79"/>
      <c r="UXF4" s="80"/>
      <c r="UXG4" s="80"/>
      <c r="UXH4" s="80"/>
      <c r="UXI4" s="79"/>
      <c r="UXJ4" s="80"/>
      <c r="UXK4" s="80"/>
      <c r="UXL4" s="80"/>
      <c r="UXM4" s="79"/>
      <c r="UXN4" s="80"/>
      <c r="UXO4" s="80"/>
      <c r="UXP4" s="80"/>
      <c r="UXQ4" s="79"/>
      <c r="UXR4" s="80"/>
      <c r="UXS4" s="80"/>
      <c r="UXT4" s="80"/>
      <c r="UXU4" s="79"/>
      <c r="UXV4" s="80"/>
      <c r="UXW4" s="80"/>
      <c r="UXX4" s="80"/>
      <c r="UXY4" s="79"/>
      <c r="UXZ4" s="80"/>
      <c r="UYA4" s="80"/>
      <c r="UYB4" s="80"/>
      <c r="UYC4" s="79"/>
      <c r="UYD4" s="80"/>
      <c r="UYE4" s="80"/>
      <c r="UYF4" s="80"/>
      <c r="UYG4" s="79"/>
      <c r="UYH4" s="80"/>
      <c r="UYI4" s="80"/>
      <c r="UYJ4" s="80"/>
      <c r="UYK4" s="79"/>
      <c r="UYL4" s="80"/>
      <c r="UYM4" s="80"/>
      <c r="UYN4" s="80"/>
      <c r="UYO4" s="79"/>
      <c r="UYP4" s="80"/>
      <c r="UYQ4" s="80"/>
      <c r="UYR4" s="80"/>
      <c r="UYS4" s="79"/>
      <c r="UYT4" s="80"/>
      <c r="UYU4" s="80"/>
      <c r="UYV4" s="80"/>
      <c r="UYW4" s="79"/>
      <c r="UYX4" s="80"/>
      <c r="UYY4" s="80"/>
      <c r="UYZ4" s="80"/>
      <c r="UZA4" s="79"/>
      <c r="UZB4" s="80"/>
      <c r="UZC4" s="80"/>
      <c r="UZD4" s="80"/>
      <c r="UZE4" s="79"/>
      <c r="UZF4" s="80"/>
      <c r="UZG4" s="80"/>
      <c r="UZH4" s="80"/>
      <c r="UZI4" s="79"/>
      <c r="UZJ4" s="80"/>
      <c r="UZK4" s="80"/>
      <c r="UZL4" s="80"/>
      <c r="UZM4" s="79"/>
      <c r="UZN4" s="80"/>
      <c r="UZO4" s="80"/>
      <c r="UZP4" s="80"/>
      <c r="UZQ4" s="79"/>
      <c r="UZR4" s="80"/>
      <c r="UZS4" s="80"/>
      <c r="UZT4" s="80"/>
      <c r="UZU4" s="79"/>
      <c r="UZV4" s="80"/>
      <c r="UZW4" s="80"/>
      <c r="UZX4" s="80"/>
      <c r="UZY4" s="79"/>
      <c r="UZZ4" s="80"/>
      <c r="VAA4" s="80"/>
      <c r="VAB4" s="80"/>
      <c r="VAC4" s="79"/>
      <c r="VAD4" s="80"/>
      <c r="VAE4" s="80"/>
      <c r="VAF4" s="80"/>
      <c r="VAG4" s="79"/>
      <c r="VAH4" s="80"/>
      <c r="VAI4" s="80"/>
      <c r="VAJ4" s="80"/>
      <c r="VAK4" s="79"/>
      <c r="VAL4" s="80"/>
      <c r="VAM4" s="80"/>
      <c r="VAN4" s="80"/>
      <c r="VAO4" s="79"/>
      <c r="VAP4" s="80"/>
      <c r="VAQ4" s="80"/>
      <c r="VAR4" s="80"/>
      <c r="VAS4" s="79"/>
      <c r="VAT4" s="80"/>
      <c r="VAU4" s="80"/>
      <c r="VAV4" s="80"/>
      <c r="VAW4" s="79"/>
      <c r="VAX4" s="80"/>
      <c r="VAY4" s="80"/>
      <c r="VAZ4" s="80"/>
      <c r="VBA4" s="79"/>
      <c r="VBB4" s="80"/>
      <c r="VBC4" s="80"/>
      <c r="VBD4" s="80"/>
      <c r="VBE4" s="79"/>
      <c r="VBF4" s="80"/>
      <c r="VBG4" s="80"/>
      <c r="VBH4" s="80"/>
      <c r="VBI4" s="79"/>
      <c r="VBJ4" s="80"/>
      <c r="VBK4" s="80"/>
      <c r="VBL4" s="80"/>
      <c r="VBM4" s="79"/>
      <c r="VBN4" s="80"/>
      <c r="VBO4" s="80"/>
      <c r="VBP4" s="80"/>
      <c r="VBQ4" s="79"/>
      <c r="VBR4" s="80"/>
      <c r="VBS4" s="80"/>
      <c r="VBT4" s="80"/>
      <c r="VBU4" s="79"/>
      <c r="VBV4" s="80"/>
      <c r="VBW4" s="80"/>
      <c r="VBX4" s="80"/>
      <c r="VBY4" s="79"/>
      <c r="VBZ4" s="80"/>
      <c r="VCA4" s="80"/>
      <c r="VCB4" s="80"/>
      <c r="VCC4" s="79"/>
      <c r="VCD4" s="80"/>
      <c r="VCE4" s="80"/>
      <c r="VCF4" s="80"/>
      <c r="VCG4" s="79"/>
      <c r="VCH4" s="80"/>
      <c r="VCI4" s="80"/>
      <c r="VCJ4" s="80"/>
      <c r="VCK4" s="79"/>
      <c r="VCL4" s="80"/>
      <c r="VCM4" s="80"/>
      <c r="VCN4" s="80"/>
      <c r="VCO4" s="79"/>
      <c r="VCP4" s="80"/>
      <c r="VCQ4" s="80"/>
      <c r="VCR4" s="80"/>
      <c r="VCS4" s="79"/>
      <c r="VCT4" s="80"/>
      <c r="VCU4" s="80"/>
      <c r="VCV4" s="80"/>
      <c r="VCW4" s="79"/>
      <c r="VCX4" s="80"/>
      <c r="VCY4" s="80"/>
      <c r="VCZ4" s="80"/>
      <c r="VDA4" s="79"/>
      <c r="VDB4" s="80"/>
      <c r="VDC4" s="80"/>
      <c r="VDD4" s="80"/>
      <c r="VDE4" s="79"/>
      <c r="VDF4" s="80"/>
      <c r="VDG4" s="80"/>
      <c r="VDH4" s="80"/>
      <c r="VDI4" s="79"/>
      <c r="VDJ4" s="80"/>
      <c r="VDK4" s="80"/>
      <c r="VDL4" s="80"/>
      <c r="VDM4" s="79"/>
      <c r="VDN4" s="80"/>
      <c r="VDO4" s="80"/>
      <c r="VDP4" s="80"/>
      <c r="VDQ4" s="79"/>
      <c r="VDR4" s="80"/>
      <c r="VDS4" s="80"/>
      <c r="VDT4" s="80"/>
      <c r="VDU4" s="79"/>
      <c r="VDV4" s="80"/>
      <c r="VDW4" s="80"/>
      <c r="VDX4" s="80"/>
      <c r="VDY4" s="79"/>
      <c r="VDZ4" s="80"/>
      <c r="VEA4" s="80"/>
      <c r="VEB4" s="80"/>
      <c r="VEC4" s="79"/>
      <c r="VED4" s="80"/>
      <c r="VEE4" s="80"/>
      <c r="VEF4" s="80"/>
      <c r="VEG4" s="79"/>
      <c r="VEH4" s="80"/>
      <c r="VEI4" s="80"/>
      <c r="VEJ4" s="80"/>
      <c r="VEK4" s="79"/>
      <c r="VEL4" s="80"/>
      <c r="VEM4" s="80"/>
      <c r="VEN4" s="80"/>
      <c r="VEO4" s="79"/>
      <c r="VEP4" s="80"/>
      <c r="VEQ4" s="80"/>
      <c r="VER4" s="80"/>
      <c r="VES4" s="79"/>
      <c r="VET4" s="80"/>
      <c r="VEU4" s="80"/>
      <c r="VEV4" s="80"/>
      <c r="VEW4" s="79"/>
      <c r="VEX4" s="80"/>
      <c r="VEY4" s="80"/>
      <c r="VEZ4" s="80"/>
      <c r="VFA4" s="79"/>
      <c r="VFB4" s="80"/>
      <c r="VFC4" s="80"/>
      <c r="VFD4" s="80"/>
      <c r="VFE4" s="79"/>
      <c r="VFF4" s="80"/>
      <c r="VFG4" s="80"/>
      <c r="VFH4" s="80"/>
      <c r="VFI4" s="79"/>
      <c r="VFJ4" s="80"/>
      <c r="VFK4" s="80"/>
      <c r="VFL4" s="80"/>
      <c r="VFM4" s="79"/>
      <c r="VFN4" s="80"/>
      <c r="VFO4" s="80"/>
      <c r="VFP4" s="80"/>
      <c r="VFQ4" s="79"/>
      <c r="VFR4" s="80"/>
      <c r="VFS4" s="80"/>
      <c r="VFT4" s="80"/>
      <c r="VFU4" s="79"/>
      <c r="VFV4" s="80"/>
      <c r="VFW4" s="80"/>
      <c r="VFX4" s="80"/>
      <c r="VFY4" s="79"/>
      <c r="VFZ4" s="80"/>
      <c r="VGA4" s="80"/>
      <c r="VGB4" s="80"/>
      <c r="VGC4" s="79"/>
      <c r="VGD4" s="80"/>
      <c r="VGE4" s="80"/>
      <c r="VGF4" s="80"/>
      <c r="VGG4" s="79"/>
      <c r="VGH4" s="80"/>
      <c r="VGI4" s="80"/>
      <c r="VGJ4" s="80"/>
      <c r="VGK4" s="79"/>
      <c r="VGL4" s="80"/>
      <c r="VGM4" s="80"/>
      <c r="VGN4" s="80"/>
      <c r="VGO4" s="79"/>
      <c r="VGP4" s="80"/>
      <c r="VGQ4" s="80"/>
      <c r="VGR4" s="80"/>
      <c r="VGS4" s="79"/>
      <c r="VGT4" s="80"/>
      <c r="VGU4" s="80"/>
      <c r="VGV4" s="80"/>
      <c r="VGW4" s="79"/>
      <c r="VGX4" s="80"/>
      <c r="VGY4" s="80"/>
      <c r="VGZ4" s="80"/>
      <c r="VHA4" s="79"/>
      <c r="VHB4" s="80"/>
      <c r="VHC4" s="80"/>
      <c r="VHD4" s="80"/>
      <c r="VHE4" s="79"/>
      <c r="VHF4" s="80"/>
      <c r="VHG4" s="80"/>
      <c r="VHH4" s="80"/>
      <c r="VHI4" s="79"/>
      <c r="VHJ4" s="80"/>
      <c r="VHK4" s="80"/>
      <c r="VHL4" s="80"/>
      <c r="VHM4" s="79"/>
      <c r="VHN4" s="80"/>
      <c r="VHO4" s="80"/>
      <c r="VHP4" s="80"/>
      <c r="VHQ4" s="79"/>
      <c r="VHR4" s="80"/>
      <c r="VHS4" s="80"/>
      <c r="VHT4" s="80"/>
      <c r="VHU4" s="79"/>
      <c r="VHV4" s="80"/>
      <c r="VHW4" s="80"/>
      <c r="VHX4" s="80"/>
      <c r="VHY4" s="79"/>
      <c r="VHZ4" s="80"/>
      <c r="VIA4" s="80"/>
      <c r="VIB4" s="80"/>
      <c r="VIC4" s="79"/>
      <c r="VID4" s="80"/>
      <c r="VIE4" s="80"/>
      <c r="VIF4" s="80"/>
      <c r="VIG4" s="79"/>
      <c r="VIH4" s="80"/>
      <c r="VII4" s="80"/>
      <c r="VIJ4" s="80"/>
      <c r="VIK4" s="79"/>
      <c r="VIL4" s="80"/>
      <c r="VIM4" s="80"/>
      <c r="VIN4" s="80"/>
      <c r="VIO4" s="79"/>
      <c r="VIP4" s="80"/>
      <c r="VIQ4" s="80"/>
      <c r="VIR4" s="80"/>
      <c r="VIS4" s="79"/>
      <c r="VIT4" s="80"/>
      <c r="VIU4" s="80"/>
      <c r="VIV4" s="80"/>
      <c r="VIW4" s="79"/>
      <c r="VIX4" s="80"/>
      <c r="VIY4" s="80"/>
      <c r="VIZ4" s="80"/>
      <c r="VJA4" s="79"/>
      <c r="VJB4" s="80"/>
      <c r="VJC4" s="80"/>
      <c r="VJD4" s="80"/>
      <c r="VJE4" s="79"/>
      <c r="VJF4" s="80"/>
      <c r="VJG4" s="80"/>
      <c r="VJH4" s="80"/>
      <c r="VJI4" s="79"/>
      <c r="VJJ4" s="80"/>
      <c r="VJK4" s="80"/>
      <c r="VJL4" s="80"/>
      <c r="VJM4" s="79"/>
      <c r="VJN4" s="80"/>
      <c r="VJO4" s="80"/>
      <c r="VJP4" s="80"/>
      <c r="VJQ4" s="79"/>
      <c r="VJR4" s="80"/>
      <c r="VJS4" s="80"/>
      <c r="VJT4" s="80"/>
      <c r="VJU4" s="79"/>
      <c r="VJV4" s="80"/>
      <c r="VJW4" s="80"/>
      <c r="VJX4" s="80"/>
      <c r="VJY4" s="79"/>
      <c r="VJZ4" s="80"/>
      <c r="VKA4" s="80"/>
      <c r="VKB4" s="80"/>
      <c r="VKC4" s="79"/>
      <c r="VKD4" s="80"/>
      <c r="VKE4" s="80"/>
      <c r="VKF4" s="80"/>
      <c r="VKG4" s="79"/>
      <c r="VKH4" s="80"/>
      <c r="VKI4" s="80"/>
      <c r="VKJ4" s="80"/>
      <c r="VKK4" s="79"/>
      <c r="VKL4" s="80"/>
      <c r="VKM4" s="80"/>
      <c r="VKN4" s="80"/>
      <c r="VKO4" s="79"/>
      <c r="VKP4" s="80"/>
      <c r="VKQ4" s="80"/>
      <c r="VKR4" s="80"/>
      <c r="VKS4" s="79"/>
      <c r="VKT4" s="80"/>
      <c r="VKU4" s="80"/>
      <c r="VKV4" s="80"/>
      <c r="VKW4" s="79"/>
      <c r="VKX4" s="80"/>
      <c r="VKY4" s="80"/>
      <c r="VKZ4" s="80"/>
      <c r="VLA4" s="79"/>
      <c r="VLB4" s="80"/>
      <c r="VLC4" s="80"/>
      <c r="VLD4" s="80"/>
      <c r="VLE4" s="79"/>
      <c r="VLF4" s="80"/>
      <c r="VLG4" s="80"/>
      <c r="VLH4" s="80"/>
      <c r="VLI4" s="79"/>
      <c r="VLJ4" s="80"/>
      <c r="VLK4" s="80"/>
      <c r="VLL4" s="80"/>
      <c r="VLM4" s="79"/>
      <c r="VLN4" s="80"/>
      <c r="VLO4" s="80"/>
      <c r="VLP4" s="80"/>
      <c r="VLQ4" s="79"/>
      <c r="VLR4" s="80"/>
      <c r="VLS4" s="80"/>
      <c r="VLT4" s="80"/>
      <c r="VLU4" s="79"/>
      <c r="VLV4" s="80"/>
      <c r="VLW4" s="80"/>
      <c r="VLX4" s="80"/>
      <c r="VLY4" s="79"/>
      <c r="VLZ4" s="80"/>
      <c r="VMA4" s="80"/>
      <c r="VMB4" s="80"/>
      <c r="VMC4" s="79"/>
      <c r="VMD4" s="80"/>
      <c r="VME4" s="80"/>
      <c r="VMF4" s="80"/>
      <c r="VMG4" s="79"/>
      <c r="VMH4" s="80"/>
      <c r="VMI4" s="80"/>
      <c r="VMJ4" s="80"/>
      <c r="VMK4" s="79"/>
      <c r="VML4" s="80"/>
      <c r="VMM4" s="80"/>
      <c r="VMN4" s="80"/>
      <c r="VMO4" s="79"/>
      <c r="VMP4" s="80"/>
      <c r="VMQ4" s="80"/>
      <c r="VMR4" s="80"/>
      <c r="VMS4" s="79"/>
      <c r="VMT4" s="80"/>
      <c r="VMU4" s="80"/>
      <c r="VMV4" s="80"/>
      <c r="VMW4" s="79"/>
      <c r="VMX4" s="80"/>
      <c r="VMY4" s="80"/>
      <c r="VMZ4" s="80"/>
      <c r="VNA4" s="79"/>
      <c r="VNB4" s="80"/>
      <c r="VNC4" s="80"/>
      <c r="VND4" s="80"/>
      <c r="VNE4" s="79"/>
      <c r="VNF4" s="80"/>
      <c r="VNG4" s="80"/>
      <c r="VNH4" s="80"/>
      <c r="VNI4" s="79"/>
      <c r="VNJ4" s="80"/>
      <c r="VNK4" s="80"/>
      <c r="VNL4" s="80"/>
      <c r="VNM4" s="79"/>
      <c r="VNN4" s="80"/>
      <c r="VNO4" s="80"/>
      <c r="VNP4" s="80"/>
      <c r="VNQ4" s="79"/>
      <c r="VNR4" s="80"/>
      <c r="VNS4" s="80"/>
      <c r="VNT4" s="80"/>
      <c r="VNU4" s="79"/>
      <c r="VNV4" s="80"/>
      <c r="VNW4" s="80"/>
      <c r="VNX4" s="80"/>
      <c r="VNY4" s="79"/>
      <c r="VNZ4" s="80"/>
      <c r="VOA4" s="80"/>
      <c r="VOB4" s="80"/>
      <c r="VOC4" s="79"/>
      <c r="VOD4" s="80"/>
      <c r="VOE4" s="80"/>
      <c r="VOF4" s="80"/>
      <c r="VOG4" s="79"/>
      <c r="VOH4" s="80"/>
      <c r="VOI4" s="80"/>
      <c r="VOJ4" s="80"/>
      <c r="VOK4" s="79"/>
      <c r="VOL4" s="80"/>
      <c r="VOM4" s="80"/>
      <c r="VON4" s="80"/>
      <c r="VOO4" s="79"/>
      <c r="VOP4" s="80"/>
      <c r="VOQ4" s="80"/>
      <c r="VOR4" s="80"/>
      <c r="VOS4" s="79"/>
      <c r="VOT4" s="80"/>
      <c r="VOU4" s="80"/>
      <c r="VOV4" s="80"/>
      <c r="VOW4" s="79"/>
      <c r="VOX4" s="80"/>
      <c r="VOY4" s="80"/>
      <c r="VOZ4" s="80"/>
      <c r="VPA4" s="79"/>
      <c r="VPB4" s="80"/>
      <c r="VPC4" s="80"/>
      <c r="VPD4" s="80"/>
      <c r="VPE4" s="79"/>
      <c r="VPF4" s="80"/>
      <c r="VPG4" s="80"/>
      <c r="VPH4" s="80"/>
      <c r="VPI4" s="79"/>
      <c r="VPJ4" s="80"/>
      <c r="VPK4" s="80"/>
      <c r="VPL4" s="80"/>
      <c r="VPM4" s="79"/>
      <c r="VPN4" s="80"/>
      <c r="VPO4" s="80"/>
      <c r="VPP4" s="80"/>
      <c r="VPQ4" s="79"/>
      <c r="VPR4" s="80"/>
      <c r="VPS4" s="80"/>
      <c r="VPT4" s="80"/>
      <c r="VPU4" s="79"/>
      <c r="VPV4" s="80"/>
      <c r="VPW4" s="80"/>
      <c r="VPX4" s="80"/>
      <c r="VPY4" s="79"/>
      <c r="VPZ4" s="80"/>
      <c r="VQA4" s="80"/>
      <c r="VQB4" s="80"/>
      <c r="VQC4" s="79"/>
      <c r="VQD4" s="80"/>
      <c r="VQE4" s="80"/>
      <c r="VQF4" s="80"/>
      <c r="VQG4" s="79"/>
      <c r="VQH4" s="80"/>
      <c r="VQI4" s="80"/>
      <c r="VQJ4" s="80"/>
      <c r="VQK4" s="79"/>
      <c r="VQL4" s="80"/>
      <c r="VQM4" s="80"/>
      <c r="VQN4" s="80"/>
      <c r="VQO4" s="79"/>
      <c r="VQP4" s="80"/>
      <c r="VQQ4" s="80"/>
      <c r="VQR4" s="80"/>
      <c r="VQS4" s="79"/>
      <c r="VQT4" s="80"/>
      <c r="VQU4" s="80"/>
      <c r="VQV4" s="80"/>
      <c r="VQW4" s="79"/>
      <c r="VQX4" s="80"/>
      <c r="VQY4" s="80"/>
      <c r="VQZ4" s="80"/>
      <c r="VRA4" s="79"/>
      <c r="VRB4" s="80"/>
      <c r="VRC4" s="80"/>
      <c r="VRD4" s="80"/>
      <c r="VRE4" s="79"/>
      <c r="VRF4" s="80"/>
      <c r="VRG4" s="80"/>
      <c r="VRH4" s="80"/>
      <c r="VRI4" s="79"/>
      <c r="VRJ4" s="80"/>
      <c r="VRK4" s="80"/>
      <c r="VRL4" s="80"/>
      <c r="VRM4" s="79"/>
      <c r="VRN4" s="80"/>
      <c r="VRO4" s="80"/>
      <c r="VRP4" s="80"/>
      <c r="VRQ4" s="79"/>
      <c r="VRR4" s="80"/>
      <c r="VRS4" s="80"/>
      <c r="VRT4" s="80"/>
      <c r="VRU4" s="79"/>
      <c r="VRV4" s="80"/>
      <c r="VRW4" s="80"/>
      <c r="VRX4" s="80"/>
      <c r="VRY4" s="79"/>
      <c r="VRZ4" s="80"/>
      <c r="VSA4" s="80"/>
      <c r="VSB4" s="80"/>
      <c r="VSC4" s="79"/>
      <c r="VSD4" s="80"/>
      <c r="VSE4" s="80"/>
      <c r="VSF4" s="80"/>
      <c r="VSG4" s="79"/>
      <c r="VSH4" s="80"/>
      <c r="VSI4" s="80"/>
      <c r="VSJ4" s="80"/>
      <c r="VSK4" s="79"/>
      <c r="VSL4" s="80"/>
      <c r="VSM4" s="80"/>
      <c r="VSN4" s="80"/>
      <c r="VSO4" s="79"/>
      <c r="VSP4" s="80"/>
      <c r="VSQ4" s="80"/>
      <c r="VSR4" s="80"/>
      <c r="VSS4" s="79"/>
      <c r="VST4" s="80"/>
      <c r="VSU4" s="80"/>
      <c r="VSV4" s="80"/>
      <c r="VSW4" s="79"/>
      <c r="VSX4" s="80"/>
      <c r="VSY4" s="80"/>
      <c r="VSZ4" s="80"/>
      <c r="VTA4" s="79"/>
      <c r="VTB4" s="80"/>
      <c r="VTC4" s="80"/>
      <c r="VTD4" s="80"/>
      <c r="VTE4" s="79"/>
      <c r="VTF4" s="80"/>
      <c r="VTG4" s="80"/>
      <c r="VTH4" s="80"/>
      <c r="VTI4" s="79"/>
      <c r="VTJ4" s="80"/>
      <c r="VTK4" s="80"/>
      <c r="VTL4" s="80"/>
      <c r="VTM4" s="79"/>
      <c r="VTN4" s="80"/>
      <c r="VTO4" s="80"/>
      <c r="VTP4" s="80"/>
      <c r="VTQ4" s="79"/>
      <c r="VTR4" s="80"/>
      <c r="VTS4" s="80"/>
      <c r="VTT4" s="80"/>
      <c r="VTU4" s="79"/>
      <c r="VTV4" s="80"/>
      <c r="VTW4" s="80"/>
      <c r="VTX4" s="80"/>
      <c r="VTY4" s="79"/>
      <c r="VTZ4" s="80"/>
      <c r="VUA4" s="80"/>
      <c r="VUB4" s="80"/>
      <c r="VUC4" s="79"/>
      <c r="VUD4" s="80"/>
      <c r="VUE4" s="80"/>
      <c r="VUF4" s="80"/>
      <c r="VUG4" s="79"/>
      <c r="VUH4" s="80"/>
      <c r="VUI4" s="80"/>
      <c r="VUJ4" s="80"/>
      <c r="VUK4" s="79"/>
      <c r="VUL4" s="80"/>
      <c r="VUM4" s="80"/>
      <c r="VUN4" s="80"/>
      <c r="VUO4" s="79"/>
      <c r="VUP4" s="80"/>
      <c r="VUQ4" s="80"/>
      <c r="VUR4" s="80"/>
      <c r="VUS4" s="79"/>
      <c r="VUT4" s="80"/>
      <c r="VUU4" s="80"/>
      <c r="VUV4" s="80"/>
      <c r="VUW4" s="79"/>
      <c r="VUX4" s="80"/>
      <c r="VUY4" s="80"/>
      <c r="VUZ4" s="80"/>
      <c r="VVA4" s="79"/>
      <c r="VVB4" s="80"/>
      <c r="VVC4" s="80"/>
      <c r="VVD4" s="80"/>
      <c r="VVE4" s="79"/>
      <c r="VVF4" s="80"/>
      <c r="VVG4" s="80"/>
      <c r="VVH4" s="80"/>
      <c r="VVI4" s="79"/>
      <c r="VVJ4" s="80"/>
      <c r="VVK4" s="80"/>
      <c r="VVL4" s="80"/>
      <c r="VVM4" s="79"/>
      <c r="VVN4" s="80"/>
      <c r="VVO4" s="80"/>
      <c r="VVP4" s="80"/>
      <c r="VVQ4" s="79"/>
      <c r="VVR4" s="80"/>
      <c r="VVS4" s="80"/>
      <c r="VVT4" s="80"/>
      <c r="VVU4" s="79"/>
      <c r="VVV4" s="80"/>
      <c r="VVW4" s="80"/>
      <c r="VVX4" s="80"/>
      <c r="VVY4" s="79"/>
      <c r="VVZ4" s="80"/>
      <c r="VWA4" s="80"/>
      <c r="VWB4" s="80"/>
      <c r="VWC4" s="79"/>
      <c r="VWD4" s="80"/>
      <c r="VWE4" s="80"/>
      <c r="VWF4" s="80"/>
      <c r="VWG4" s="79"/>
      <c r="VWH4" s="80"/>
      <c r="VWI4" s="80"/>
      <c r="VWJ4" s="80"/>
      <c r="VWK4" s="79"/>
      <c r="VWL4" s="80"/>
      <c r="VWM4" s="80"/>
      <c r="VWN4" s="80"/>
      <c r="VWO4" s="79"/>
      <c r="VWP4" s="80"/>
      <c r="VWQ4" s="80"/>
      <c r="VWR4" s="80"/>
      <c r="VWS4" s="79"/>
      <c r="VWT4" s="80"/>
      <c r="VWU4" s="80"/>
      <c r="VWV4" s="80"/>
      <c r="VWW4" s="79"/>
      <c r="VWX4" s="80"/>
      <c r="VWY4" s="80"/>
      <c r="VWZ4" s="80"/>
      <c r="VXA4" s="79"/>
      <c r="VXB4" s="80"/>
      <c r="VXC4" s="80"/>
      <c r="VXD4" s="80"/>
      <c r="VXE4" s="79"/>
      <c r="VXF4" s="80"/>
      <c r="VXG4" s="80"/>
      <c r="VXH4" s="80"/>
      <c r="VXI4" s="79"/>
      <c r="VXJ4" s="80"/>
      <c r="VXK4" s="80"/>
      <c r="VXL4" s="80"/>
      <c r="VXM4" s="79"/>
      <c r="VXN4" s="80"/>
      <c r="VXO4" s="80"/>
      <c r="VXP4" s="80"/>
      <c r="VXQ4" s="79"/>
      <c r="VXR4" s="80"/>
      <c r="VXS4" s="80"/>
      <c r="VXT4" s="80"/>
      <c r="VXU4" s="79"/>
      <c r="VXV4" s="80"/>
      <c r="VXW4" s="80"/>
      <c r="VXX4" s="80"/>
      <c r="VXY4" s="79"/>
      <c r="VXZ4" s="80"/>
      <c r="VYA4" s="80"/>
      <c r="VYB4" s="80"/>
      <c r="VYC4" s="79"/>
      <c r="VYD4" s="80"/>
      <c r="VYE4" s="80"/>
      <c r="VYF4" s="80"/>
      <c r="VYG4" s="79"/>
      <c r="VYH4" s="80"/>
      <c r="VYI4" s="80"/>
      <c r="VYJ4" s="80"/>
      <c r="VYK4" s="79"/>
      <c r="VYL4" s="80"/>
      <c r="VYM4" s="80"/>
      <c r="VYN4" s="80"/>
      <c r="VYO4" s="79"/>
      <c r="VYP4" s="80"/>
      <c r="VYQ4" s="80"/>
      <c r="VYR4" s="80"/>
      <c r="VYS4" s="79"/>
      <c r="VYT4" s="80"/>
      <c r="VYU4" s="80"/>
      <c r="VYV4" s="80"/>
      <c r="VYW4" s="79"/>
      <c r="VYX4" s="80"/>
      <c r="VYY4" s="80"/>
      <c r="VYZ4" s="80"/>
      <c r="VZA4" s="79"/>
      <c r="VZB4" s="80"/>
      <c r="VZC4" s="80"/>
      <c r="VZD4" s="80"/>
      <c r="VZE4" s="79"/>
      <c r="VZF4" s="80"/>
      <c r="VZG4" s="80"/>
      <c r="VZH4" s="80"/>
      <c r="VZI4" s="79"/>
      <c r="VZJ4" s="80"/>
      <c r="VZK4" s="80"/>
      <c r="VZL4" s="80"/>
      <c r="VZM4" s="79"/>
      <c r="VZN4" s="80"/>
      <c r="VZO4" s="80"/>
      <c r="VZP4" s="80"/>
      <c r="VZQ4" s="79"/>
      <c r="VZR4" s="80"/>
      <c r="VZS4" s="80"/>
      <c r="VZT4" s="80"/>
      <c r="VZU4" s="79"/>
      <c r="VZV4" s="80"/>
      <c r="VZW4" s="80"/>
      <c r="VZX4" s="80"/>
      <c r="VZY4" s="79"/>
      <c r="VZZ4" s="80"/>
      <c r="WAA4" s="80"/>
      <c r="WAB4" s="80"/>
      <c r="WAC4" s="79"/>
      <c r="WAD4" s="80"/>
      <c r="WAE4" s="80"/>
      <c r="WAF4" s="80"/>
      <c r="WAG4" s="79"/>
      <c r="WAH4" s="80"/>
      <c r="WAI4" s="80"/>
      <c r="WAJ4" s="80"/>
      <c r="WAK4" s="79"/>
      <c r="WAL4" s="80"/>
      <c r="WAM4" s="80"/>
      <c r="WAN4" s="80"/>
      <c r="WAO4" s="79"/>
      <c r="WAP4" s="80"/>
      <c r="WAQ4" s="80"/>
      <c r="WAR4" s="80"/>
      <c r="WAS4" s="79"/>
      <c r="WAT4" s="80"/>
      <c r="WAU4" s="80"/>
      <c r="WAV4" s="80"/>
      <c r="WAW4" s="79"/>
      <c r="WAX4" s="80"/>
      <c r="WAY4" s="80"/>
      <c r="WAZ4" s="80"/>
      <c r="WBA4" s="79"/>
      <c r="WBB4" s="80"/>
      <c r="WBC4" s="80"/>
      <c r="WBD4" s="80"/>
      <c r="WBE4" s="79"/>
      <c r="WBF4" s="80"/>
      <c r="WBG4" s="80"/>
      <c r="WBH4" s="80"/>
      <c r="WBI4" s="79"/>
      <c r="WBJ4" s="80"/>
      <c r="WBK4" s="80"/>
      <c r="WBL4" s="80"/>
      <c r="WBM4" s="79"/>
      <c r="WBN4" s="80"/>
      <c r="WBO4" s="80"/>
      <c r="WBP4" s="80"/>
      <c r="WBQ4" s="79"/>
      <c r="WBR4" s="80"/>
      <c r="WBS4" s="80"/>
      <c r="WBT4" s="80"/>
      <c r="WBU4" s="79"/>
      <c r="WBV4" s="80"/>
      <c r="WBW4" s="80"/>
      <c r="WBX4" s="80"/>
      <c r="WBY4" s="79"/>
      <c r="WBZ4" s="80"/>
      <c r="WCA4" s="80"/>
      <c r="WCB4" s="80"/>
      <c r="WCC4" s="79"/>
      <c r="WCD4" s="80"/>
      <c r="WCE4" s="80"/>
      <c r="WCF4" s="80"/>
      <c r="WCG4" s="79"/>
      <c r="WCH4" s="80"/>
      <c r="WCI4" s="80"/>
      <c r="WCJ4" s="80"/>
      <c r="WCK4" s="79"/>
      <c r="WCL4" s="80"/>
      <c r="WCM4" s="80"/>
      <c r="WCN4" s="80"/>
      <c r="WCO4" s="79"/>
      <c r="WCP4" s="80"/>
      <c r="WCQ4" s="80"/>
      <c r="WCR4" s="80"/>
      <c r="WCS4" s="79"/>
      <c r="WCT4" s="80"/>
      <c r="WCU4" s="80"/>
      <c r="WCV4" s="80"/>
      <c r="WCW4" s="79"/>
      <c r="WCX4" s="80"/>
      <c r="WCY4" s="80"/>
      <c r="WCZ4" s="80"/>
      <c r="WDA4" s="79"/>
      <c r="WDB4" s="80"/>
      <c r="WDC4" s="80"/>
      <c r="WDD4" s="80"/>
      <c r="WDE4" s="79"/>
      <c r="WDF4" s="80"/>
      <c r="WDG4" s="80"/>
      <c r="WDH4" s="80"/>
      <c r="WDI4" s="79"/>
      <c r="WDJ4" s="80"/>
      <c r="WDK4" s="80"/>
      <c r="WDL4" s="80"/>
      <c r="WDM4" s="79"/>
      <c r="WDN4" s="80"/>
      <c r="WDO4" s="80"/>
      <c r="WDP4" s="80"/>
      <c r="WDQ4" s="79"/>
      <c r="WDR4" s="80"/>
      <c r="WDS4" s="80"/>
      <c r="WDT4" s="80"/>
      <c r="WDU4" s="79"/>
      <c r="WDV4" s="80"/>
      <c r="WDW4" s="80"/>
      <c r="WDX4" s="80"/>
      <c r="WDY4" s="79"/>
      <c r="WDZ4" s="80"/>
      <c r="WEA4" s="80"/>
      <c r="WEB4" s="80"/>
      <c r="WEC4" s="79"/>
      <c r="WED4" s="80"/>
      <c r="WEE4" s="80"/>
      <c r="WEF4" s="80"/>
      <c r="WEG4" s="79"/>
      <c r="WEH4" s="80"/>
      <c r="WEI4" s="80"/>
      <c r="WEJ4" s="80"/>
      <c r="WEK4" s="79"/>
      <c r="WEL4" s="80"/>
      <c r="WEM4" s="80"/>
      <c r="WEN4" s="80"/>
      <c r="WEO4" s="79"/>
      <c r="WEP4" s="80"/>
      <c r="WEQ4" s="80"/>
      <c r="WER4" s="80"/>
      <c r="WES4" s="79"/>
      <c r="WET4" s="80"/>
      <c r="WEU4" s="80"/>
      <c r="WEV4" s="80"/>
      <c r="WEW4" s="79"/>
      <c r="WEX4" s="80"/>
      <c r="WEY4" s="80"/>
      <c r="WEZ4" s="80"/>
      <c r="WFA4" s="79"/>
      <c r="WFB4" s="80"/>
      <c r="WFC4" s="80"/>
      <c r="WFD4" s="80"/>
      <c r="WFE4" s="79"/>
      <c r="WFF4" s="80"/>
      <c r="WFG4" s="80"/>
      <c r="WFH4" s="80"/>
      <c r="WFI4" s="79"/>
      <c r="WFJ4" s="80"/>
      <c r="WFK4" s="80"/>
      <c r="WFL4" s="80"/>
      <c r="WFM4" s="79"/>
      <c r="WFN4" s="80"/>
      <c r="WFO4" s="80"/>
      <c r="WFP4" s="80"/>
      <c r="WFQ4" s="79"/>
      <c r="WFR4" s="80"/>
      <c r="WFS4" s="80"/>
      <c r="WFT4" s="80"/>
      <c r="WFU4" s="79"/>
      <c r="WFV4" s="80"/>
      <c r="WFW4" s="80"/>
      <c r="WFX4" s="80"/>
      <c r="WFY4" s="79"/>
      <c r="WFZ4" s="80"/>
      <c r="WGA4" s="80"/>
      <c r="WGB4" s="80"/>
      <c r="WGC4" s="79"/>
      <c r="WGD4" s="80"/>
      <c r="WGE4" s="80"/>
      <c r="WGF4" s="80"/>
      <c r="WGG4" s="79"/>
      <c r="WGH4" s="80"/>
      <c r="WGI4" s="80"/>
      <c r="WGJ4" s="80"/>
      <c r="WGK4" s="79"/>
      <c r="WGL4" s="80"/>
      <c r="WGM4" s="80"/>
      <c r="WGN4" s="80"/>
      <c r="WGO4" s="79"/>
      <c r="WGP4" s="80"/>
      <c r="WGQ4" s="80"/>
      <c r="WGR4" s="80"/>
      <c r="WGS4" s="79"/>
      <c r="WGT4" s="80"/>
      <c r="WGU4" s="80"/>
      <c r="WGV4" s="80"/>
      <c r="WGW4" s="79"/>
      <c r="WGX4" s="80"/>
      <c r="WGY4" s="80"/>
      <c r="WGZ4" s="80"/>
      <c r="WHA4" s="79"/>
      <c r="WHB4" s="80"/>
      <c r="WHC4" s="80"/>
      <c r="WHD4" s="80"/>
      <c r="WHE4" s="79"/>
      <c r="WHF4" s="80"/>
      <c r="WHG4" s="80"/>
      <c r="WHH4" s="80"/>
      <c r="WHI4" s="79"/>
      <c r="WHJ4" s="80"/>
      <c r="WHK4" s="80"/>
      <c r="WHL4" s="80"/>
      <c r="WHM4" s="79"/>
      <c r="WHN4" s="80"/>
      <c r="WHO4" s="80"/>
      <c r="WHP4" s="80"/>
      <c r="WHQ4" s="79"/>
      <c r="WHR4" s="80"/>
      <c r="WHS4" s="80"/>
      <c r="WHT4" s="80"/>
      <c r="WHU4" s="79"/>
      <c r="WHV4" s="80"/>
      <c r="WHW4" s="80"/>
      <c r="WHX4" s="80"/>
      <c r="WHY4" s="79"/>
      <c r="WHZ4" s="80"/>
      <c r="WIA4" s="80"/>
      <c r="WIB4" s="80"/>
      <c r="WIC4" s="79"/>
      <c r="WID4" s="80"/>
      <c r="WIE4" s="80"/>
      <c r="WIF4" s="80"/>
      <c r="WIG4" s="79"/>
      <c r="WIH4" s="80"/>
      <c r="WII4" s="80"/>
      <c r="WIJ4" s="80"/>
      <c r="WIK4" s="79"/>
      <c r="WIL4" s="80"/>
      <c r="WIM4" s="80"/>
      <c r="WIN4" s="80"/>
      <c r="WIO4" s="79"/>
      <c r="WIP4" s="80"/>
      <c r="WIQ4" s="80"/>
      <c r="WIR4" s="80"/>
      <c r="WIS4" s="79"/>
      <c r="WIT4" s="80"/>
      <c r="WIU4" s="80"/>
      <c r="WIV4" s="80"/>
      <c r="WIW4" s="79"/>
      <c r="WIX4" s="80"/>
      <c r="WIY4" s="80"/>
      <c r="WIZ4" s="80"/>
      <c r="WJA4" s="79"/>
      <c r="WJB4" s="80"/>
      <c r="WJC4" s="80"/>
      <c r="WJD4" s="80"/>
      <c r="WJE4" s="79"/>
      <c r="WJF4" s="80"/>
      <c r="WJG4" s="80"/>
      <c r="WJH4" s="80"/>
      <c r="WJI4" s="79"/>
      <c r="WJJ4" s="80"/>
      <c r="WJK4" s="80"/>
      <c r="WJL4" s="80"/>
      <c r="WJM4" s="79"/>
      <c r="WJN4" s="80"/>
      <c r="WJO4" s="80"/>
      <c r="WJP4" s="80"/>
      <c r="WJQ4" s="79"/>
      <c r="WJR4" s="80"/>
      <c r="WJS4" s="80"/>
      <c r="WJT4" s="80"/>
      <c r="WJU4" s="79"/>
      <c r="WJV4" s="80"/>
      <c r="WJW4" s="80"/>
      <c r="WJX4" s="80"/>
      <c r="WJY4" s="79"/>
      <c r="WJZ4" s="80"/>
      <c r="WKA4" s="80"/>
      <c r="WKB4" s="80"/>
      <c r="WKC4" s="79"/>
      <c r="WKD4" s="80"/>
      <c r="WKE4" s="80"/>
      <c r="WKF4" s="80"/>
      <c r="WKG4" s="79"/>
      <c r="WKH4" s="80"/>
      <c r="WKI4" s="80"/>
      <c r="WKJ4" s="80"/>
      <c r="WKK4" s="79"/>
      <c r="WKL4" s="80"/>
      <c r="WKM4" s="80"/>
      <c r="WKN4" s="80"/>
      <c r="WKO4" s="79"/>
      <c r="WKP4" s="80"/>
      <c r="WKQ4" s="80"/>
      <c r="WKR4" s="80"/>
      <c r="WKS4" s="79"/>
      <c r="WKT4" s="80"/>
      <c r="WKU4" s="80"/>
      <c r="WKV4" s="80"/>
      <c r="WKW4" s="79"/>
      <c r="WKX4" s="80"/>
      <c r="WKY4" s="80"/>
      <c r="WKZ4" s="80"/>
      <c r="WLA4" s="79"/>
      <c r="WLB4" s="80"/>
      <c r="WLC4" s="80"/>
      <c r="WLD4" s="80"/>
      <c r="WLE4" s="79"/>
      <c r="WLF4" s="80"/>
      <c r="WLG4" s="80"/>
      <c r="WLH4" s="80"/>
      <c r="WLI4" s="79"/>
      <c r="WLJ4" s="80"/>
      <c r="WLK4" s="80"/>
      <c r="WLL4" s="80"/>
      <c r="WLM4" s="79"/>
      <c r="WLN4" s="80"/>
      <c r="WLO4" s="80"/>
      <c r="WLP4" s="80"/>
      <c r="WLQ4" s="79"/>
      <c r="WLR4" s="80"/>
      <c r="WLS4" s="80"/>
      <c r="WLT4" s="80"/>
      <c r="WLU4" s="79"/>
      <c r="WLV4" s="80"/>
      <c r="WLW4" s="80"/>
      <c r="WLX4" s="80"/>
      <c r="WLY4" s="79"/>
      <c r="WLZ4" s="80"/>
      <c r="WMA4" s="80"/>
      <c r="WMB4" s="80"/>
      <c r="WMC4" s="79"/>
      <c r="WMD4" s="80"/>
      <c r="WME4" s="80"/>
      <c r="WMF4" s="80"/>
      <c r="WMG4" s="79"/>
      <c r="WMH4" s="80"/>
      <c r="WMI4" s="80"/>
      <c r="WMJ4" s="80"/>
      <c r="WMK4" s="79"/>
      <c r="WML4" s="80"/>
      <c r="WMM4" s="80"/>
      <c r="WMN4" s="80"/>
      <c r="WMO4" s="79"/>
      <c r="WMP4" s="80"/>
      <c r="WMQ4" s="80"/>
      <c r="WMR4" s="80"/>
      <c r="WMS4" s="79"/>
      <c r="WMT4" s="80"/>
      <c r="WMU4" s="80"/>
      <c r="WMV4" s="80"/>
      <c r="WMW4" s="79"/>
      <c r="WMX4" s="80"/>
      <c r="WMY4" s="80"/>
      <c r="WMZ4" s="80"/>
      <c r="WNA4" s="79"/>
      <c r="WNB4" s="80"/>
      <c r="WNC4" s="80"/>
      <c r="WND4" s="80"/>
      <c r="WNE4" s="79"/>
      <c r="WNF4" s="80"/>
      <c r="WNG4" s="80"/>
      <c r="WNH4" s="80"/>
      <c r="WNI4" s="79"/>
      <c r="WNJ4" s="80"/>
      <c r="WNK4" s="80"/>
      <c r="WNL4" s="80"/>
      <c r="WNM4" s="79"/>
      <c r="WNN4" s="80"/>
      <c r="WNO4" s="80"/>
      <c r="WNP4" s="80"/>
      <c r="WNQ4" s="79"/>
      <c r="WNR4" s="80"/>
      <c r="WNS4" s="80"/>
      <c r="WNT4" s="80"/>
      <c r="WNU4" s="79"/>
      <c r="WNV4" s="80"/>
      <c r="WNW4" s="80"/>
      <c r="WNX4" s="80"/>
      <c r="WNY4" s="79"/>
      <c r="WNZ4" s="80"/>
      <c r="WOA4" s="80"/>
      <c r="WOB4" s="80"/>
      <c r="WOC4" s="79"/>
      <c r="WOD4" s="80"/>
      <c r="WOE4" s="80"/>
      <c r="WOF4" s="80"/>
      <c r="WOG4" s="79"/>
      <c r="WOH4" s="80"/>
      <c r="WOI4" s="80"/>
      <c r="WOJ4" s="80"/>
      <c r="WOK4" s="79"/>
      <c r="WOL4" s="80"/>
      <c r="WOM4" s="80"/>
      <c r="WON4" s="80"/>
      <c r="WOO4" s="79"/>
      <c r="WOP4" s="80"/>
      <c r="WOQ4" s="80"/>
      <c r="WOR4" s="80"/>
      <c r="WOS4" s="79"/>
      <c r="WOT4" s="80"/>
      <c r="WOU4" s="80"/>
      <c r="WOV4" s="80"/>
      <c r="WOW4" s="79"/>
      <c r="WOX4" s="80"/>
      <c r="WOY4" s="80"/>
      <c r="WOZ4" s="80"/>
      <c r="WPA4" s="79"/>
      <c r="WPB4" s="80"/>
      <c r="WPC4" s="80"/>
      <c r="WPD4" s="80"/>
      <c r="WPE4" s="79"/>
      <c r="WPF4" s="80"/>
      <c r="WPG4" s="80"/>
      <c r="WPH4" s="80"/>
      <c r="WPI4" s="79"/>
      <c r="WPJ4" s="80"/>
      <c r="WPK4" s="80"/>
      <c r="WPL4" s="80"/>
      <c r="WPM4" s="79"/>
      <c r="WPN4" s="80"/>
      <c r="WPO4" s="80"/>
      <c r="WPP4" s="80"/>
      <c r="WPQ4" s="79"/>
      <c r="WPR4" s="80"/>
      <c r="WPS4" s="80"/>
      <c r="WPT4" s="80"/>
      <c r="WPU4" s="79"/>
      <c r="WPV4" s="80"/>
      <c r="WPW4" s="80"/>
      <c r="WPX4" s="80"/>
      <c r="WPY4" s="79"/>
      <c r="WPZ4" s="80"/>
      <c r="WQA4" s="80"/>
      <c r="WQB4" s="80"/>
      <c r="WQC4" s="79"/>
      <c r="WQD4" s="80"/>
      <c r="WQE4" s="80"/>
      <c r="WQF4" s="80"/>
      <c r="WQG4" s="79"/>
      <c r="WQH4" s="80"/>
      <c r="WQI4" s="80"/>
      <c r="WQJ4" s="80"/>
      <c r="WQK4" s="79"/>
      <c r="WQL4" s="80"/>
      <c r="WQM4" s="80"/>
      <c r="WQN4" s="80"/>
      <c r="WQO4" s="79"/>
      <c r="WQP4" s="80"/>
      <c r="WQQ4" s="80"/>
      <c r="WQR4" s="80"/>
      <c r="WQS4" s="79"/>
      <c r="WQT4" s="80"/>
      <c r="WQU4" s="80"/>
      <c r="WQV4" s="80"/>
      <c r="WQW4" s="79"/>
      <c r="WQX4" s="80"/>
      <c r="WQY4" s="80"/>
      <c r="WQZ4" s="80"/>
      <c r="WRA4" s="79"/>
      <c r="WRB4" s="80"/>
      <c r="WRC4" s="80"/>
      <c r="WRD4" s="80"/>
      <c r="WRE4" s="79"/>
      <c r="WRF4" s="80"/>
      <c r="WRG4" s="80"/>
      <c r="WRH4" s="80"/>
      <c r="WRI4" s="79"/>
      <c r="WRJ4" s="80"/>
      <c r="WRK4" s="80"/>
      <c r="WRL4" s="80"/>
      <c r="WRM4" s="79"/>
      <c r="WRN4" s="80"/>
      <c r="WRO4" s="80"/>
      <c r="WRP4" s="80"/>
      <c r="WRQ4" s="79"/>
      <c r="WRR4" s="80"/>
      <c r="WRS4" s="80"/>
      <c r="WRT4" s="80"/>
      <c r="WRU4" s="79"/>
      <c r="WRV4" s="80"/>
      <c r="WRW4" s="80"/>
      <c r="WRX4" s="80"/>
      <c r="WRY4" s="79"/>
      <c r="WRZ4" s="80"/>
      <c r="WSA4" s="80"/>
      <c r="WSB4" s="80"/>
      <c r="WSC4" s="79"/>
      <c r="WSD4" s="80"/>
      <c r="WSE4" s="80"/>
      <c r="WSF4" s="80"/>
      <c r="WSG4" s="79"/>
      <c r="WSH4" s="80"/>
      <c r="WSI4" s="80"/>
      <c r="WSJ4" s="80"/>
      <c r="WSK4" s="79"/>
      <c r="WSL4" s="80"/>
      <c r="WSM4" s="80"/>
      <c r="WSN4" s="80"/>
      <c r="WSO4" s="79"/>
      <c r="WSP4" s="80"/>
      <c r="WSQ4" s="80"/>
      <c r="WSR4" s="80"/>
      <c r="WSS4" s="79"/>
      <c r="WST4" s="80"/>
      <c r="WSU4" s="80"/>
      <c r="WSV4" s="80"/>
      <c r="WSW4" s="79"/>
      <c r="WSX4" s="80"/>
      <c r="WSY4" s="80"/>
      <c r="WSZ4" s="80"/>
      <c r="WTA4" s="79"/>
      <c r="WTB4" s="80"/>
      <c r="WTC4" s="80"/>
      <c r="WTD4" s="80"/>
      <c r="WTE4" s="79"/>
      <c r="WTF4" s="80"/>
      <c r="WTG4" s="80"/>
      <c r="WTH4" s="80"/>
      <c r="WTI4" s="79"/>
      <c r="WTJ4" s="80"/>
      <c r="WTK4" s="80"/>
      <c r="WTL4" s="80"/>
      <c r="WTM4" s="79"/>
      <c r="WTN4" s="80"/>
      <c r="WTO4" s="80"/>
      <c r="WTP4" s="80"/>
      <c r="WTQ4" s="79"/>
      <c r="WTR4" s="80"/>
      <c r="WTS4" s="80"/>
      <c r="WTT4" s="80"/>
      <c r="WTU4" s="79"/>
      <c r="WTV4" s="80"/>
      <c r="WTW4" s="80"/>
      <c r="WTX4" s="80"/>
      <c r="WTY4" s="79"/>
      <c r="WTZ4" s="80"/>
      <c r="WUA4" s="80"/>
      <c r="WUB4" s="80"/>
      <c r="WUC4" s="79"/>
      <c r="WUD4" s="80"/>
      <c r="WUE4" s="80"/>
      <c r="WUF4" s="80"/>
      <c r="WUG4" s="79"/>
      <c r="WUH4" s="80"/>
      <c r="WUI4" s="80"/>
      <c r="WUJ4" s="80"/>
      <c r="WUK4" s="79"/>
      <c r="WUL4" s="80"/>
      <c r="WUM4" s="80"/>
      <c r="WUN4" s="80"/>
      <c r="WUO4" s="79"/>
      <c r="WUP4" s="80"/>
      <c r="WUQ4" s="80"/>
      <c r="WUR4" s="80"/>
      <c r="WUS4" s="79"/>
      <c r="WUT4" s="80"/>
      <c r="WUU4" s="80"/>
      <c r="WUV4" s="80"/>
      <c r="WUW4" s="79"/>
      <c r="WUX4" s="80"/>
      <c r="WUY4" s="80"/>
      <c r="WUZ4" s="80"/>
      <c r="WVA4" s="79"/>
      <c r="WVB4" s="80"/>
      <c r="WVC4" s="80"/>
      <c r="WVD4" s="80"/>
      <c r="WVE4" s="79"/>
      <c r="WVF4" s="80"/>
      <c r="WVG4" s="80"/>
      <c r="WVH4" s="80"/>
      <c r="WVI4" s="79"/>
      <c r="WVJ4" s="80"/>
      <c r="WVK4" s="80"/>
      <c r="WVL4" s="80"/>
      <c r="WVM4" s="79"/>
      <c r="WVN4" s="80"/>
      <c r="WVO4" s="80"/>
      <c r="WVP4" s="80"/>
      <c r="WVQ4" s="79"/>
      <c r="WVR4" s="80"/>
      <c r="WVS4" s="80"/>
      <c r="WVT4" s="80"/>
      <c r="WVU4" s="79"/>
      <c r="WVV4" s="80"/>
      <c r="WVW4" s="80"/>
      <c r="WVX4" s="80"/>
      <c r="WVY4" s="79"/>
      <c r="WVZ4" s="80"/>
      <c r="WWA4" s="80"/>
      <c r="WWB4" s="80"/>
      <c r="WWC4" s="79"/>
      <c r="WWD4" s="80"/>
      <c r="WWE4" s="80"/>
      <c r="WWF4" s="80"/>
      <c r="WWG4" s="79"/>
      <c r="WWH4" s="80"/>
      <c r="WWI4" s="80"/>
      <c r="WWJ4" s="80"/>
      <c r="WWK4" s="79"/>
      <c r="WWL4" s="80"/>
      <c r="WWM4" s="80"/>
      <c r="WWN4" s="80"/>
      <c r="WWO4" s="79"/>
      <c r="WWP4" s="80"/>
      <c r="WWQ4" s="80"/>
      <c r="WWR4" s="80"/>
      <c r="WWS4" s="79"/>
      <c r="WWT4" s="80"/>
      <c r="WWU4" s="80"/>
      <c r="WWV4" s="80"/>
      <c r="WWW4" s="79"/>
      <c r="WWX4" s="80"/>
      <c r="WWY4" s="80"/>
      <c r="WWZ4" s="80"/>
      <c r="WXA4" s="79"/>
      <c r="WXB4" s="80"/>
      <c r="WXC4" s="80"/>
      <c r="WXD4" s="80"/>
      <c r="WXE4" s="79"/>
      <c r="WXF4" s="80"/>
      <c r="WXG4" s="80"/>
      <c r="WXH4" s="80"/>
      <c r="WXI4" s="79"/>
      <c r="WXJ4" s="80"/>
      <c r="WXK4" s="80"/>
      <c r="WXL4" s="80"/>
      <c r="WXM4" s="79"/>
      <c r="WXN4" s="80"/>
      <c r="WXO4" s="80"/>
      <c r="WXP4" s="80"/>
      <c r="WXQ4" s="79"/>
      <c r="WXR4" s="80"/>
      <c r="WXS4" s="80"/>
      <c r="WXT4" s="80"/>
      <c r="WXU4" s="79"/>
      <c r="WXV4" s="80"/>
      <c r="WXW4" s="80"/>
      <c r="WXX4" s="80"/>
      <c r="WXY4" s="79"/>
      <c r="WXZ4" s="80"/>
      <c r="WYA4" s="80"/>
      <c r="WYB4" s="80"/>
      <c r="WYC4" s="79"/>
      <c r="WYD4" s="80"/>
      <c r="WYE4" s="80"/>
      <c r="WYF4" s="80"/>
      <c r="WYG4" s="79"/>
      <c r="WYH4" s="80"/>
      <c r="WYI4" s="80"/>
      <c r="WYJ4" s="80"/>
      <c r="WYK4" s="79"/>
      <c r="WYL4" s="80"/>
      <c r="WYM4" s="80"/>
      <c r="WYN4" s="80"/>
      <c r="WYO4" s="79"/>
      <c r="WYP4" s="80"/>
      <c r="WYQ4" s="80"/>
      <c r="WYR4" s="80"/>
      <c r="WYS4" s="79"/>
      <c r="WYT4" s="80"/>
      <c r="WYU4" s="80"/>
      <c r="WYV4" s="80"/>
      <c r="WYW4" s="79"/>
      <c r="WYX4" s="80"/>
      <c r="WYY4" s="80"/>
      <c r="WYZ4" s="80"/>
      <c r="WZA4" s="79"/>
      <c r="WZB4" s="80"/>
      <c r="WZC4" s="80"/>
      <c r="WZD4" s="80"/>
      <c r="WZE4" s="79"/>
      <c r="WZF4" s="80"/>
      <c r="WZG4" s="80"/>
      <c r="WZH4" s="80"/>
      <c r="WZI4" s="79"/>
      <c r="WZJ4" s="80"/>
      <c r="WZK4" s="80"/>
      <c r="WZL4" s="80"/>
      <c r="WZM4" s="79"/>
      <c r="WZN4" s="80"/>
      <c r="WZO4" s="80"/>
      <c r="WZP4" s="80"/>
      <c r="WZQ4" s="79"/>
      <c r="WZR4" s="80"/>
      <c r="WZS4" s="80"/>
      <c r="WZT4" s="80"/>
      <c r="WZU4" s="79"/>
      <c r="WZV4" s="80"/>
      <c r="WZW4" s="80"/>
      <c r="WZX4" s="80"/>
      <c r="WZY4" s="79"/>
      <c r="WZZ4" s="80"/>
      <c r="XAA4" s="80"/>
      <c r="XAB4" s="80"/>
      <c r="XAC4" s="79"/>
      <c r="XAD4" s="80"/>
      <c r="XAE4" s="80"/>
      <c r="XAF4" s="80"/>
      <c r="XAG4" s="79"/>
      <c r="XAH4" s="80"/>
      <c r="XAI4" s="80"/>
      <c r="XAJ4" s="80"/>
      <c r="XAK4" s="79"/>
      <c r="XAL4" s="80"/>
      <c r="XAM4" s="80"/>
      <c r="XAN4" s="80"/>
      <c r="XAO4" s="79"/>
      <c r="XAP4" s="80"/>
      <c r="XAQ4" s="80"/>
      <c r="XAR4" s="80"/>
      <c r="XAS4" s="79"/>
      <c r="XAT4" s="80"/>
      <c r="XAU4" s="80"/>
      <c r="XAV4" s="80"/>
      <c r="XAW4" s="79"/>
      <c r="XAX4" s="80"/>
      <c r="XAY4" s="80"/>
      <c r="XAZ4" s="80"/>
      <c r="XBA4" s="79"/>
      <c r="XBB4" s="80"/>
      <c r="XBC4" s="80"/>
      <c r="XBD4" s="80"/>
      <c r="XBE4" s="79"/>
      <c r="XBF4" s="80"/>
      <c r="XBG4" s="80"/>
      <c r="XBH4" s="80"/>
      <c r="XBI4" s="79"/>
      <c r="XBJ4" s="80"/>
      <c r="XBK4" s="80"/>
      <c r="XBL4" s="80"/>
      <c r="XBM4" s="79"/>
      <c r="XBN4" s="80"/>
      <c r="XBO4" s="80"/>
      <c r="XBP4" s="80"/>
      <c r="XBQ4" s="79"/>
      <c r="XBR4" s="80"/>
      <c r="XBS4" s="80"/>
      <c r="XBT4" s="80"/>
      <c r="XBU4" s="79"/>
      <c r="XBV4" s="80"/>
      <c r="XBW4" s="80"/>
      <c r="XBX4" s="80"/>
      <c r="XBY4" s="79"/>
      <c r="XBZ4" s="80"/>
      <c r="XCA4" s="80"/>
      <c r="XCB4" s="80"/>
      <c r="XCC4" s="79"/>
      <c r="XCD4" s="80"/>
      <c r="XCE4" s="80"/>
      <c r="XCF4" s="80"/>
      <c r="XCG4" s="79"/>
      <c r="XCH4" s="80"/>
      <c r="XCI4" s="80"/>
      <c r="XCJ4" s="80"/>
      <c r="XCK4" s="79"/>
      <c r="XCL4" s="80"/>
      <c r="XCM4" s="80"/>
      <c r="XCN4" s="80"/>
      <c r="XCO4" s="79"/>
      <c r="XCP4" s="80"/>
      <c r="XCQ4" s="80"/>
      <c r="XCR4" s="80"/>
      <c r="XCS4" s="79"/>
      <c r="XCT4" s="80"/>
      <c r="XCU4" s="80"/>
      <c r="XCV4" s="80"/>
      <c r="XCW4" s="79"/>
      <c r="XCX4" s="80"/>
      <c r="XCY4" s="80"/>
      <c r="XCZ4" s="80"/>
      <c r="XDA4" s="79"/>
      <c r="XDB4" s="80"/>
      <c r="XDC4" s="80"/>
      <c r="XDD4" s="80"/>
      <c r="XDE4" s="79"/>
      <c r="XDF4" s="80"/>
      <c r="XDG4" s="80"/>
      <c r="XDH4" s="80"/>
      <c r="XDI4" s="79"/>
      <c r="XDJ4" s="80"/>
      <c r="XDK4" s="80"/>
      <c r="XDL4" s="80"/>
      <c r="XDM4" s="79"/>
      <c r="XDN4" s="80"/>
      <c r="XDO4" s="80"/>
      <c r="XDP4" s="80"/>
      <c r="XDQ4" s="79"/>
      <c r="XDR4" s="80"/>
      <c r="XDS4" s="80"/>
      <c r="XDT4" s="80"/>
      <c r="XDU4" s="79"/>
      <c r="XDV4" s="80"/>
      <c r="XDW4" s="80"/>
      <c r="XDX4" s="80"/>
      <c r="XDY4" s="79"/>
      <c r="XDZ4" s="80"/>
      <c r="XEA4" s="80"/>
      <c r="XEB4" s="80"/>
      <c r="XEC4" s="79"/>
      <c r="XED4" s="80"/>
      <c r="XEE4" s="80"/>
      <c r="XEF4" s="80"/>
      <c r="XEG4" s="79"/>
      <c r="XEH4" s="80"/>
      <c r="XEI4" s="80"/>
      <c r="XEJ4" s="80"/>
      <c r="XEK4" s="79"/>
      <c r="XEL4" s="80"/>
      <c r="XEM4" s="80"/>
      <c r="XEN4" s="80"/>
      <c r="XEO4" s="79"/>
      <c r="XEP4" s="80"/>
      <c r="XEQ4" s="80"/>
      <c r="XER4" s="80"/>
      <c r="XES4" s="79"/>
      <c r="XET4" s="80"/>
      <c r="XEU4" s="80"/>
      <c r="XEV4" s="80"/>
      <c r="XEW4" s="79"/>
      <c r="XEX4" s="80"/>
      <c r="XEY4" s="80"/>
      <c r="XEZ4" s="80"/>
      <c r="XFA4" s="79"/>
      <c r="XFB4" s="80"/>
      <c r="XFC4" s="80"/>
      <c r="XFD4" s="80"/>
    </row>
    <row r="5" spans="1:16384" s="76" customFormat="1" ht="14">
      <c r="A5" s="77" t="s">
        <v>398</v>
      </c>
    </row>
    <row r="6" spans="1:16384" s="76" customFormat="1" ht="14">
      <c r="A6" s="77" t="s">
        <v>399</v>
      </c>
    </row>
    <row r="7" spans="1:16384" s="76" customFormat="1" ht="14">
      <c r="A7" s="77" t="s">
        <v>400</v>
      </c>
    </row>
    <row r="8" spans="1:16384" s="76" customFormat="1" ht="14">
      <c r="A8" s="77" t="s">
        <v>401</v>
      </c>
    </row>
    <row r="10" spans="1:16384" ht="25.5" customHeight="1">
      <c r="A10" s="81" t="s">
        <v>396</v>
      </c>
      <c r="B10" s="82"/>
      <c r="C10" s="82"/>
      <c r="D10" s="82"/>
    </row>
    <row r="11" spans="1:16384" s="76" customFormat="1" ht="14">
      <c r="A11" s="77" t="s">
        <v>402</v>
      </c>
    </row>
    <row r="12" spans="1:16384" s="76" customFormat="1" ht="14">
      <c r="A12" s="77" t="s">
        <v>403</v>
      </c>
    </row>
    <row r="13" spans="1:16384" s="76" customFormat="1" ht="14">
      <c r="A13" s="77" t="s">
        <v>404</v>
      </c>
    </row>
    <row r="14" spans="1:16384" s="76" customFormat="1" ht="14">
      <c r="A14" s="77" t="s">
        <v>405</v>
      </c>
    </row>
    <row r="16" spans="1:16384" ht="17.5">
      <c r="A16" s="81" t="s">
        <v>397</v>
      </c>
      <c r="B16" s="82"/>
      <c r="C16" s="82"/>
      <c r="D16" s="82"/>
    </row>
    <row r="17" spans="1:4" s="76" customFormat="1" ht="14">
      <c r="A17" s="78" t="s">
        <v>406</v>
      </c>
      <c r="B17" s="78"/>
      <c r="C17" s="78"/>
      <c r="D17" s="78"/>
    </row>
    <row r="18" spans="1:4" s="76" customFormat="1" ht="14">
      <c r="A18" s="78" t="s">
        <v>407</v>
      </c>
      <c r="B18" s="78"/>
      <c r="C18" s="78"/>
      <c r="D18" s="78"/>
    </row>
    <row r="19" spans="1:4">
      <c r="A19" s="75"/>
      <c r="B19" s="75"/>
      <c r="C19" s="75"/>
      <c r="D19" s="75"/>
    </row>
  </sheetData>
  <mergeCells count="4098">
    <mergeCell ref="Y4:AB4"/>
    <mergeCell ref="AC4:AF4"/>
    <mergeCell ref="AG4:AJ4"/>
    <mergeCell ref="AK4:AN4"/>
    <mergeCell ref="AO4:AR4"/>
    <mergeCell ref="AS4:AV4"/>
    <mergeCell ref="A4:D4"/>
    <mergeCell ref="E4:H4"/>
    <mergeCell ref="I4:L4"/>
    <mergeCell ref="M4:P4"/>
    <mergeCell ref="Q4:T4"/>
    <mergeCell ref="U4:X4"/>
    <mergeCell ref="CS4:CV4"/>
    <mergeCell ref="CW4:CZ4"/>
    <mergeCell ref="DA4:DD4"/>
    <mergeCell ref="DE4:DH4"/>
    <mergeCell ref="DI4:DL4"/>
    <mergeCell ref="DM4:DP4"/>
    <mergeCell ref="BU4:BX4"/>
    <mergeCell ref="BY4:CB4"/>
    <mergeCell ref="CC4:CF4"/>
    <mergeCell ref="CG4:CJ4"/>
    <mergeCell ref="CK4:CN4"/>
    <mergeCell ref="CO4:CR4"/>
    <mergeCell ref="AW4:AZ4"/>
    <mergeCell ref="BA4:BD4"/>
    <mergeCell ref="BE4:BH4"/>
    <mergeCell ref="BI4:BL4"/>
    <mergeCell ref="BM4:BP4"/>
    <mergeCell ref="BQ4:BT4"/>
    <mergeCell ref="FM4:FP4"/>
    <mergeCell ref="FQ4:FT4"/>
    <mergeCell ref="FU4:FX4"/>
    <mergeCell ref="FY4:GB4"/>
    <mergeCell ref="GC4:GF4"/>
    <mergeCell ref="GG4:GJ4"/>
    <mergeCell ref="EO4:ER4"/>
    <mergeCell ref="ES4:EV4"/>
    <mergeCell ref="EW4:EZ4"/>
    <mergeCell ref="FA4:FD4"/>
    <mergeCell ref="FE4:FH4"/>
    <mergeCell ref="FI4:FL4"/>
    <mergeCell ref="DQ4:DT4"/>
    <mergeCell ref="DU4:DX4"/>
    <mergeCell ref="DY4:EB4"/>
    <mergeCell ref="EC4:EF4"/>
    <mergeCell ref="EG4:EJ4"/>
    <mergeCell ref="EK4:EN4"/>
    <mergeCell ref="IG4:IJ4"/>
    <mergeCell ref="IK4:IN4"/>
    <mergeCell ref="IO4:IR4"/>
    <mergeCell ref="IS4:IV4"/>
    <mergeCell ref="IW4:IZ4"/>
    <mergeCell ref="JA4:JD4"/>
    <mergeCell ref="HI4:HL4"/>
    <mergeCell ref="HM4:HP4"/>
    <mergeCell ref="HQ4:HT4"/>
    <mergeCell ref="HU4:HX4"/>
    <mergeCell ref="HY4:IB4"/>
    <mergeCell ref="IC4:IF4"/>
    <mergeCell ref="GK4:GN4"/>
    <mergeCell ref="GO4:GR4"/>
    <mergeCell ref="GS4:GV4"/>
    <mergeCell ref="GW4:GZ4"/>
    <mergeCell ref="HA4:HD4"/>
    <mergeCell ref="HE4:HH4"/>
    <mergeCell ref="LA4:LD4"/>
    <mergeCell ref="LE4:LH4"/>
    <mergeCell ref="LI4:LL4"/>
    <mergeCell ref="LM4:LP4"/>
    <mergeCell ref="LQ4:LT4"/>
    <mergeCell ref="LU4:LX4"/>
    <mergeCell ref="KC4:KF4"/>
    <mergeCell ref="KG4:KJ4"/>
    <mergeCell ref="KK4:KN4"/>
    <mergeCell ref="KO4:KR4"/>
    <mergeCell ref="KS4:KV4"/>
    <mergeCell ref="KW4:KZ4"/>
    <mergeCell ref="JE4:JH4"/>
    <mergeCell ref="JI4:JL4"/>
    <mergeCell ref="JM4:JP4"/>
    <mergeCell ref="JQ4:JT4"/>
    <mergeCell ref="JU4:JX4"/>
    <mergeCell ref="JY4:KB4"/>
    <mergeCell ref="NU4:NX4"/>
    <mergeCell ref="NY4:OB4"/>
    <mergeCell ref="OC4:OF4"/>
    <mergeCell ref="OG4:OJ4"/>
    <mergeCell ref="OK4:ON4"/>
    <mergeCell ref="OO4:OR4"/>
    <mergeCell ref="MW4:MZ4"/>
    <mergeCell ref="NA4:ND4"/>
    <mergeCell ref="NE4:NH4"/>
    <mergeCell ref="NI4:NL4"/>
    <mergeCell ref="NM4:NP4"/>
    <mergeCell ref="NQ4:NT4"/>
    <mergeCell ref="LY4:MB4"/>
    <mergeCell ref="MC4:MF4"/>
    <mergeCell ref="MG4:MJ4"/>
    <mergeCell ref="MK4:MN4"/>
    <mergeCell ref="MO4:MR4"/>
    <mergeCell ref="MS4:MV4"/>
    <mergeCell ref="QO4:QR4"/>
    <mergeCell ref="QS4:QV4"/>
    <mergeCell ref="QW4:QZ4"/>
    <mergeCell ref="RA4:RD4"/>
    <mergeCell ref="RE4:RH4"/>
    <mergeCell ref="RI4:RL4"/>
    <mergeCell ref="PQ4:PT4"/>
    <mergeCell ref="PU4:PX4"/>
    <mergeCell ref="PY4:QB4"/>
    <mergeCell ref="QC4:QF4"/>
    <mergeCell ref="QG4:QJ4"/>
    <mergeCell ref="QK4:QN4"/>
    <mergeCell ref="OS4:OV4"/>
    <mergeCell ref="OW4:OZ4"/>
    <mergeCell ref="PA4:PD4"/>
    <mergeCell ref="PE4:PH4"/>
    <mergeCell ref="PI4:PL4"/>
    <mergeCell ref="PM4:PP4"/>
    <mergeCell ref="TI4:TL4"/>
    <mergeCell ref="TM4:TP4"/>
    <mergeCell ref="TQ4:TT4"/>
    <mergeCell ref="TU4:TX4"/>
    <mergeCell ref="TY4:UB4"/>
    <mergeCell ref="UC4:UF4"/>
    <mergeCell ref="SK4:SN4"/>
    <mergeCell ref="SO4:SR4"/>
    <mergeCell ref="SS4:SV4"/>
    <mergeCell ref="SW4:SZ4"/>
    <mergeCell ref="TA4:TD4"/>
    <mergeCell ref="TE4:TH4"/>
    <mergeCell ref="RM4:RP4"/>
    <mergeCell ref="RQ4:RT4"/>
    <mergeCell ref="RU4:RX4"/>
    <mergeCell ref="RY4:SB4"/>
    <mergeCell ref="SC4:SF4"/>
    <mergeCell ref="SG4:SJ4"/>
    <mergeCell ref="WC4:WF4"/>
    <mergeCell ref="WG4:WJ4"/>
    <mergeCell ref="WK4:WN4"/>
    <mergeCell ref="WO4:WR4"/>
    <mergeCell ref="WS4:WV4"/>
    <mergeCell ref="WW4:WZ4"/>
    <mergeCell ref="VE4:VH4"/>
    <mergeCell ref="VI4:VL4"/>
    <mergeCell ref="VM4:VP4"/>
    <mergeCell ref="VQ4:VT4"/>
    <mergeCell ref="VU4:VX4"/>
    <mergeCell ref="VY4:WB4"/>
    <mergeCell ref="UG4:UJ4"/>
    <mergeCell ref="UK4:UN4"/>
    <mergeCell ref="UO4:UR4"/>
    <mergeCell ref="US4:UV4"/>
    <mergeCell ref="UW4:UZ4"/>
    <mergeCell ref="VA4:VD4"/>
    <mergeCell ref="YW4:YZ4"/>
    <mergeCell ref="ZA4:ZD4"/>
    <mergeCell ref="ZE4:ZH4"/>
    <mergeCell ref="ZI4:ZL4"/>
    <mergeCell ref="ZM4:ZP4"/>
    <mergeCell ref="ZQ4:ZT4"/>
    <mergeCell ref="XY4:YB4"/>
    <mergeCell ref="YC4:YF4"/>
    <mergeCell ref="YG4:YJ4"/>
    <mergeCell ref="YK4:YN4"/>
    <mergeCell ref="YO4:YR4"/>
    <mergeCell ref="YS4:YV4"/>
    <mergeCell ref="XA4:XD4"/>
    <mergeCell ref="XE4:XH4"/>
    <mergeCell ref="XI4:XL4"/>
    <mergeCell ref="XM4:XP4"/>
    <mergeCell ref="XQ4:XT4"/>
    <mergeCell ref="XU4:XX4"/>
    <mergeCell ref="ABQ4:ABT4"/>
    <mergeCell ref="ABU4:ABX4"/>
    <mergeCell ref="ABY4:ACB4"/>
    <mergeCell ref="ACC4:ACF4"/>
    <mergeCell ref="ACG4:ACJ4"/>
    <mergeCell ref="ACK4:ACN4"/>
    <mergeCell ref="AAS4:AAV4"/>
    <mergeCell ref="AAW4:AAZ4"/>
    <mergeCell ref="ABA4:ABD4"/>
    <mergeCell ref="ABE4:ABH4"/>
    <mergeCell ref="ABI4:ABL4"/>
    <mergeCell ref="ABM4:ABP4"/>
    <mergeCell ref="ZU4:ZX4"/>
    <mergeCell ref="ZY4:AAB4"/>
    <mergeCell ref="AAC4:AAF4"/>
    <mergeCell ref="AAG4:AAJ4"/>
    <mergeCell ref="AAK4:AAN4"/>
    <mergeCell ref="AAO4:AAR4"/>
    <mergeCell ref="AEK4:AEN4"/>
    <mergeCell ref="AEO4:AER4"/>
    <mergeCell ref="AES4:AEV4"/>
    <mergeCell ref="AEW4:AEZ4"/>
    <mergeCell ref="AFA4:AFD4"/>
    <mergeCell ref="AFE4:AFH4"/>
    <mergeCell ref="ADM4:ADP4"/>
    <mergeCell ref="ADQ4:ADT4"/>
    <mergeCell ref="ADU4:ADX4"/>
    <mergeCell ref="ADY4:AEB4"/>
    <mergeCell ref="AEC4:AEF4"/>
    <mergeCell ref="AEG4:AEJ4"/>
    <mergeCell ref="ACO4:ACR4"/>
    <mergeCell ref="ACS4:ACV4"/>
    <mergeCell ref="ACW4:ACZ4"/>
    <mergeCell ref="ADA4:ADD4"/>
    <mergeCell ref="ADE4:ADH4"/>
    <mergeCell ref="ADI4:ADL4"/>
    <mergeCell ref="AHE4:AHH4"/>
    <mergeCell ref="AHI4:AHL4"/>
    <mergeCell ref="AHM4:AHP4"/>
    <mergeCell ref="AHQ4:AHT4"/>
    <mergeCell ref="AHU4:AHX4"/>
    <mergeCell ref="AHY4:AIB4"/>
    <mergeCell ref="AGG4:AGJ4"/>
    <mergeCell ref="AGK4:AGN4"/>
    <mergeCell ref="AGO4:AGR4"/>
    <mergeCell ref="AGS4:AGV4"/>
    <mergeCell ref="AGW4:AGZ4"/>
    <mergeCell ref="AHA4:AHD4"/>
    <mergeCell ref="AFI4:AFL4"/>
    <mergeCell ref="AFM4:AFP4"/>
    <mergeCell ref="AFQ4:AFT4"/>
    <mergeCell ref="AFU4:AFX4"/>
    <mergeCell ref="AFY4:AGB4"/>
    <mergeCell ref="AGC4:AGF4"/>
    <mergeCell ref="AJY4:AKB4"/>
    <mergeCell ref="AKC4:AKF4"/>
    <mergeCell ref="AKG4:AKJ4"/>
    <mergeCell ref="AKK4:AKN4"/>
    <mergeCell ref="AKO4:AKR4"/>
    <mergeCell ref="AKS4:AKV4"/>
    <mergeCell ref="AJA4:AJD4"/>
    <mergeCell ref="AJE4:AJH4"/>
    <mergeCell ref="AJI4:AJL4"/>
    <mergeCell ref="AJM4:AJP4"/>
    <mergeCell ref="AJQ4:AJT4"/>
    <mergeCell ref="AJU4:AJX4"/>
    <mergeCell ref="AIC4:AIF4"/>
    <mergeCell ref="AIG4:AIJ4"/>
    <mergeCell ref="AIK4:AIN4"/>
    <mergeCell ref="AIO4:AIR4"/>
    <mergeCell ref="AIS4:AIV4"/>
    <mergeCell ref="AIW4:AIZ4"/>
    <mergeCell ref="AMS4:AMV4"/>
    <mergeCell ref="AMW4:AMZ4"/>
    <mergeCell ref="ANA4:AND4"/>
    <mergeCell ref="ANE4:ANH4"/>
    <mergeCell ref="ANI4:ANL4"/>
    <mergeCell ref="ANM4:ANP4"/>
    <mergeCell ref="ALU4:ALX4"/>
    <mergeCell ref="ALY4:AMB4"/>
    <mergeCell ref="AMC4:AMF4"/>
    <mergeCell ref="AMG4:AMJ4"/>
    <mergeCell ref="AMK4:AMN4"/>
    <mergeCell ref="AMO4:AMR4"/>
    <mergeCell ref="AKW4:AKZ4"/>
    <mergeCell ref="ALA4:ALD4"/>
    <mergeCell ref="ALE4:ALH4"/>
    <mergeCell ref="ALI4:ALL4"/>
    <mergeCell ref="ALM4:ALP4"/>
    <mergeCell ref="ALQ4:ALT4"/>
    <mergeCell ref="APM4:APP4"/>
    <mergeCell ref="APQ4:APT4"/>
    <mergeCell ref="APU4:APX4"/>
    <mergeCell ref="APY4:AQB4"/>
    <mergeCell ref="AQC4:AQF4"/>
    <mergeCell ref="AQG4:AQJ4"/>
    <mergeCell ref="AOO4:AOR4"/>
    <mergeCell ref="AOS4:AOV4"/>
    <mergeCell ref="AOW4:AOZ4"/>
    <mergeCell ref="APA4:APD4"/>
    <mergeCell ref="APE4:APH4"/>
    <mergeCell ref="API4:APL4"/>
    <mergeCell ref="ANQ4:ANT4"/>
    <mergeCell ref="ANU4:ANX4"/>
    <mergeCell ref="ANY4:AOB4"/>
    <mergeCell ref="AOC4:AOF4"/>
    <mergeCell ref="AOG4:AOJ4"/>
    <mergeCell ref="AOK4:AON4"/>
    <mergeCell ref="ASG4:ASJ4"/>
    <mergeCell ref="ASK4:ASN4"/>
    <mergeCell ref="ASO4:ASR4"/>
    <mergeCell ref="ASS4:ASV4"/>
    <mergeCell ref="ASW4:ASZ4"/>
    <mergeCell ref="ATA4:ATD4"/>
    <mergeCell ref="ARI4:ARL4"/>
    <mergeCell ref="ARM4:ARP4"/>
    <mergeCell ref="ARQ4:ART4"/>
    <mergeCell ref="ARU4:ARX4"/>
    <mergeCell ref="ARY4:ASB4"/>
    <mergeCell ref="ASC4:ASF4"/>
    <mergeCell ref="AQK4:AQN4"/>
    <mergeCell ref="AQO4:AQR4"/>
    <mergeCell ref="AQS4:AQV4"/>
    <mergeCell ref="AQW4:AQZ4"/>
    <mergeCell ref="ARA4:ARD4"/>
    <mergeCell ref="ARE4:ARH4"/>
    <mergeCell ref="AVA4:AVD4"/>
    <mergeCell ref="AVE4:AVH4"/>
    <mergeCell ref="AVI4:AVL4"/>
    <mergeCell ref="AVM4:AVP4"/>
    <mergeCell ref="AVQ4:AVT4"/>
    <mergeCell ref="AVU4:AVX4"/>
    <mergeCell ref="AUC4:AUF4"/>
    <mergeCell ref="AUG4:AUJ4"/>
    <mergeCell ref="AUK4:AUN4"/>
    <mergeCell ref="AUO4:AUR4"/>
    <mergeCell ref="AUS4:AUV4"/>
    <mergeCell ref="AUW4:AUZ4"/>
    <mergeCell ref="ATE4:ATH4"/>
    <mergeCell ref="ATI4:ATL4"/>
    <mergeCell ref="ATM4:ATP4"/>
    <mergeCell ref="ATQ4:ATT4"/>
    <mergeCell ref="ATU4:ATX4"/>
    <mergeCell ref="ATY4:AUB4"/>
    <mergeCell ref="AXU4:AXX4"/>
    <mergeCell ref="AXY4:AYB4"/>
    <mergeCell ref="AYC4:AYF4"/>
    <mergeCell ref="AYG4:AYJ4"/>
    <mergeCell ref="AYK4:AYN4"/>
    <mergeCell ref="AYO4:AYR4"/>
    <mergeCell ref="AWW4:AWZ4"/>
    <mergeCell ref="AXA4:AXD4"/>
    <mergeCell ref="AXE4:AXH4"/>
    <mergeCell ref="AXI4:AXL4"/>
    <mergeCell ref="AXM4:AXP4"/>
    <mergeCell ref="AXQ4:AXT4"/>
    <mergeCell ref="AVY4:AWB4"/>
    <mergeCell ref="AWC4:AWF4"/>
    <mergeCell ref="AWG4:AWJ4"/>
    <mergeCell ref="AWK4:AWN4"/>
    <mergeCell ref="AWO4:AWR4"/>
    <mergeCell ref="AWS4:AWV4"/>
    <mergeCell ref="BAO4:BAR4"/>
    <mergeCell ref="BAS4:BAV4"/>
    <mergeCell ref="BAW4:BAZ4"/>
    <mergeCell ref="BBA4:BBD4"/>
    <mergeCell ref="BBE4:BBH4"/>
    <mergeCell ref="BBI4:BBL4"/>
    <mergeCell ref="AZQ4:AZT4"/>
    <mergeCell ref="AZU4:AZX4"/>
    <mergeCell ref="AZY4:BAB4"/>
    <mergeCell ref="BAC4:BAF4"/>
    <mergeCell ref="BAG4:BAJ4"/>
    <mergeCell ref="BAK4:BAN4"/>
    <mergeCell ref="AYS4:AYV4"/>
    <mergeCell ref="AYW4:AYZ4"/>
    <mergeCell ref="AZA4:AZD4"/>
    <mergeCell ref="AZE4:AZH4"/>
    <mergeCell ref="AZI4:AZL4"/>
    <mergeCell ref="AZM4:AZP4"/>
    <mergeCell ref="BDI4:BDL4"/>
    <mergeCell ref="BDM4:BDP4"/>
    <mergeCell ref="BDQ4:BDT4"/>
    <mergeCell ref="BDU4:BDX4"/>
    <mergeCell ref="BDY4:BEB4"/>
    <mergeCell ref="BEC4:BEF4"/>
    <mergeCell ref="BCK4:BCN4"/>
    <mergeCell ref="BCO4:BCR4"/>
    <mergeCell ref="BCS4:BCV4"/>
    <mergeCell ref="BCW4:BCZ4"/>
    <mergeCell ref="BDA4:BDD4"/>
    <mergeCell ref="BDE4:BDH4"/>
    <mergeCell ref="BBM4:BBP4"/>
    <mergeCell ref="BBQ4:BBT4"/>
    <mergeCell ref="BBU4:BBX4"/>
    <mergeCell ref="BBY4:BCB4"/>
    <mergeCell ref="BCC4:BCF4"/>
    <mergeCell ref="BCG4:BCJ4"/>
    <mergeCell ref="BGC4:BGF4"/>
    <mergeCell ref="BGG4:BGJ4"/>
    <mergeCell ref="BGK4:BGN4"/>
    <mergeCell ref="BGO4:BGR4"/>
    <mergeCell ref="BGS4:BGV4"/>
    <mergeCell ref="BGW4:BGZ4"/>
    <mergeCell ref="BFE4:BFH4"/>
    <mergeCell ref="BFI4:BFL4"/>
    <mergeCell ref="BFM4:BFP4"/>
    <mergeCell ref="BFQ4:BFT4"/>
    <mergeCell ref="BFU4:BFX4"/>
    <mergeCell ref="BFY4:BGB4"/>
    <mergeCell ref="BEG4:BEJ4"/>
    <mergeCell ref="BEK4:BEN4"/>
    <mergeCell ref="BEO4:BER4"/>
    <mergeCell ref="BES4:BEV4"/>
    <mergeCell ref="BEW4:BEZ4"/>
    <mergeCell ref="BFA4:BFD4"/>
    <mergeCell ref="BIW4:BIZ4"/>
    <mergeCell ref="BJA4:BJD4"/>
    <mergeCell ref="BJE4:BJH4"/>
    <mergeCell ref="BJI4:BJL4"/>
    <mergeCell ref="BJM4:BJP4"/>
    <mergeCell ref="BJQ4:BJT4"/>
    <mergeCell ref="BHY4:BIB4"/>
    <mergeCell ref="BIC4:BIF4"/>
    <mergeCell ref="BIG4:BIJ4"/>
    <mergeCell ref="BIK4:BIN4"/>
    <mergeCell ref="BIO4:BIR4"/>
    <mergeCell ref="BIS4:BIV4"/>
    <mergeCell ref="BHA4:BHD4"/>
    <mergeCell ref="BHE4:BHH4"/>
    <mergeCell ref="BHI4:BHL4"/>
    <mergeCell ref="BHM4:BHP4"/>
    <mergeCell ref="BHQ4:BHT4"/>
    <mergeCell ref="BHU4:BHX4"/>
    <mergeCell ref="BLQ4:BLT4"/>
    <mergeCell ref="BLU4:BLX4"/>
    <mergeCell ref="BLY4:BMB4"/>
    <mergeCell ref="BMC4:BMF4"/>
    <mergeCell ref="BMG4:BMJ4"/>
    <mergeCell ref="BMK4:BMN4"/>
    <mergeCell ref="BKS4:BKV4"/>
    <mergeCell ref="BKW4:BKZ4"/>
    <mergeCell ref="BLA4:BLD4"/>
    <mergeCell ref="BLE4:BLH4"/>
    <mergeCell ref="BLI4:BLL4"/>
    <mergeCell ref="BLM4:BLP4"/>
    <mergeCell ref="BJU4:BJX4"/>
    <mergeCell ref="BJY4:BKB4"/>
    <mergeCell ref="BKC4:BKF4"/>
    <mergeCell ref="BKG4:BKJ4"/>
    <mergeCell ref="BKK4:BKN4"/>
    <mergeCell ref="BKO4:BKR4"/>
    <mergeCell ref="BOK4:BON4"/>
    <mergeCell ref="BOO4:BOR4"/>
    <mergeCell ref="BOS4:BOV4"/>
    <mergeCell ref="BOW4:BOZ4"/>
    <mergeCell ref="BPA4:BPD4"/>
    <mergeCell ref="BPE4:BPH4"/>
    <mergeCell ref="BNM4:BNP4"/>
    <mergeCell ref="BNQ4:BNT4"/>
    <mergeCell ref="BNU4:BNX4"/>
    <mergeCell ref="BNY4:BOB4"/>
    <mergeCell ref="BOC4:BOF4"/>
    <mergeCell ref="BOG4:BOJ4"/>
    <mergeCell ref="BMO4:BMR4"/>
    <mergeCell ref="BMS4:BMV4"/>
    <mergeCell ref="BMW4:BMZ4"/>
    <mergeCell ref="BNA4:BND4"/>
    <mergeCell ref="BNE4:BNH4"/>
    <mergeCell ref="BNI4:BNL4"/>
    <mergeCell ref="BRE4:BRH4"/>
    <mergeCell ref="BRI4:BRL4"/>
    <mergeCell ref="BRM4:BRP4"/>
    <mergeCell ref="BRQ4:BRT4"/>
    <mergeCell ref="BRU4:BRX4"/>
    <mergeCell ref="BRY4:BSB4"/>
    <mergeCell ref="BQG4:BQJ4"/>
    <mergeCell ref="BQK4:BQN4"/>
    <mergeCell ref="BQO4:BQR4"/>
    <mergeCell ref="BQS4:BQV4"/>
    <mergeCell ref="BQW4:BQZ4"/>
    <mergeCell ref="BRA4:BRD4"/>
    <mergeCell ref="BPI4:BPL4"/>
    <mergeCell ref="BPM4:BPP4"/>
    <mergeCell ref="BPQ4:BPT4"/>
    <mergeCell ref="BPU4:BPX4"/>
    <mergeCell ref="BPY4:BQB4"/>
    <mergeCell ref="BQC4:BQF4"/>
    <mergeCell ref="BTY4:BUB4"/>
    <mergeCell ref="BUC4:BUF4"/>
    <mergeCell ref="BUG4:BUJ4"/>
    <mergeCell ref="BUK4:BUN4"/>
    <mergeCell ref="BUO4:BUR4"/>
    <mergeCell ref="BUS4:BUV4"/>
    <mergeCell ref="BTA4:BTD4"/>
    <mergeCell ref="BTE4:BTH4"/>
    <mergeCell ref="BTI4:BTL4"/>
    <mergeCell ref="BTM4:BTP4"/>
    <mergeCell ref="BTQ4:BTT4"/>
    <mergeCell ref="BTU4:BTX4"/>
    <mergeCell ref="BSC4:BSF4"/>
    <mergeCell ref="BSG4:BSJ4"/>
    <mergeCell ref="BSK4:BSN4"/>
    <mergeCell ref="BSO4:BSR4"/>
    <mergeCell ref="BSS4:BSV4"/>
    <mergeCell ref="BSW4:BSZ4"/>
    <mergeCell ref="BWS4:BWV4"/>
    <mergeCell ref="BWW4:BWZ4"/>
    <mergeCell ref="BXA4:BXD4"/>
    <mergeCell ref="BXE4:BXH4"/>
    <mergeCell ref="BXI4:BXL4"/>
    <mergeCell ref="BXM4:BXP4"/>
    <mergeCell ref="BVU4:BVX4"/>
    <mergeCell ref="BVY4:BWB4"/>
    <mergeCell ref="BWC4:BWF4"/>
    <mergeCell ref="BWG4:BWJ4"/>
    <mergeCell ref="BWK4:BWN4"/>
    <mergeCell ref="BWO4:BWR4"/>
    <mergeCell ref="BUW4:BUZ4"/>
    <mergeCell ref="BVA4:BVD4"/>
    <mergeCell ref="BVE4:BVH4"/>
    <mergeCell ref="BVI4:BVL4"/>
    <mergeCell ref="BVM4:BVP4"/>
    <mergeCell ref="BVQ4:BVT4"/>
    <mergeCell ref="BZM4:BZP4"/>
    <mergeCell ref="BZQ4:BZT4"/>
    <mergeCell ref="BZU4:BZX4"/>
    <mergeCell ref="BZY4:CAB4"/>
    <mergeCell ref="CAC4:CAF4"/>
    <mergeCell ref="CAG4:CAJ4"/>
    <mergeCell ref="BYO4:BYR4"/>
    <mergeCell ref="BYS4:BYV4"/>
    <mergeCell ref="BYW4:BYZ4"/>
    <mergeCell ref="BZA4:BZD4"/>
    <mergeCell ref="BZE4:BZH4"/>
    <mergeCell ref="BZI4:BZL4"/>
    <mergeCell ref="BXQ4:BXT4"/>
    <mergeCell ref="BXU4:BXX4"/>
    <mergeCell ref="BXY4:BYB4"/>
    <mergeCell ref="BYC4:BYF4"/>
    <mergeCell ref="BYG4:BYJ4"/>
    <mergeCell ref="BYK4:BYN4"/>
    <mergeCell ref="CCG4:CCJ4"/>
    <mergeCell ref="CCK4:CCN4"/>
    <mergeCell ref="CCO4:CCR4"/>
    <mergeCell ref="CCS4:CCV4"/>
    <mergeCell ref="CCW4:CCZ4"/>
    <mergeCell ref="CDA4:CDD4"/>
    <mergeCell ref="CBI4:CBL4"/>
    <mergeCell ref="CBM4:CBP4"/>
    <mergeCell ref="CBQ4:CBT4"/>
    <mergeCell ref="CBU4:CBX4"/>
    <mergeCell ref="CBY4:CCB4"/>
    <mergeCell ref="CCC4:CCF4"/>
    <mergeCell ref="CAK4:CAN4"/>
    <mergeCell ref="CAO4:CAR4"/>
    <mergeCell ref="CAS4:CAV4"/>
    <mergeCell ref="CAW4:CAZ4"/>
    <mergeCell ref="CBA4:CBD4"/>
    <mergeCell ref="CBE4:CBH4"/>
    <mergeCell ref="CFA4:CFD4"/>
    <mergeCell ref="CFE4:CFH4"/>
    <mergeCell ref="CFI4:CFL4"/>
    <mergeCell ref="CFM4:CFP4"/>
    <mergeCell ref="CFQ4:CFT4"/>
    <mergeCell ref="CFU4:CFX4"/>
    <mergeCell ref="CEC4:CEF4"/>
    <mergeCell ref="CEG4:CEJ4"/>
    <mergeCell ref="CEK4:CEN4"/>
    <mergeCell ref="CEO4:CER4"/>
    <mergeCell ref="CES4:CEV4"/>
    <mergeCell ref="CEW4:CEZ4"/>
    <mergeCell ref="CDE4:CDH4"/>
    <mergeCell ref="CDI4:CDL4"/>
    <mergeCell ref="CDM4:CDP4"/>
    <mergeCell ref="CDQ4:CDT4"/>
    <mergeCell ref="CDU4:CDX4"/>
    <mergeCell ref="CDY4:CEB4"/>
    <mergeCell ref="CHU4:CHX4"/>
    <mergeCell ref="CHY4:CIB4"/>
    <mergeCell ref="CIC4:CIF4"/>
    <mergeCell ref="CIG4:CIJ4"/>
    <mergeCell ref="CIK4:CIN4"/>
    <mergeCell ref="CIO4:CIR4"/>
    <mergeCell ref="CGW4:CGZ4"/>
    <mergeCell ref="CHA4:CHD4"/>
    <mergeCell ref="CHE4:CHH4"/>
    <mergeCell ref="CHI4:CHL4"/>
    <mergeCell ref="CHM4:CHP4"/>
    <mergeCell ref="CHQ4:CHT4"/>
    <mergeCell ref="CFY4:CGB4"/>
    <mergeCell ref="CGC4:CGF4"/>
    <mergeCell ref="CGG4:CGJ4"/>
    <mergeCell ref="CGK4:CGN4"/>
    <mergeCell ref="CGO4:CGR4"/>
    <mergeCell ref="CGS4:CGV4"/>
    <mergeCell ref="CKO4:CKR4"/>
    <mergeCell ref="CKS4:CKV4"/>
    <mergeCell ref="CKW4:CKZ4"/>
    <mergeCell ref="CLA4:CLD4"/>
    <mergeCell ref="CLE4:CLH4"/>
    <mergeCell ref="CLI4:CLL4"/>
    <mergeCell ref="CJQ4:CJT4"/>
    <mergeCell ref="CJU4:CJX4"/>
    <mergeCell ref="CJY4:CKB4"/>
    <mergeCell ref="CKC4:CKF4"/>
    <mergeCell ref="CKG4:CKJ4"/>
    <mergeCell ref="CKK4:CKN4"/>
    <mergeCell ref="CIS4:CIV4"/>
    <mergeCell ref="CIW4:CIZ4"/>
    <mergeCell ref="CJA4:CJD4"/>
    <mergeCell ref="CJE4:CJH4"/>
    <mergeCell ref="CJI4:CJL4"/>
    <mergeCell ref="CJM4:CJP4"/>
    <mergeCell ref="CNI4:CNL4"/>
    <mergeCell ref="CNM4:CNP4"/>
    <mergeCell ref="CNQ4:CNT4"/>
    <mergeCell ref="CNU4:CNX4"/>
    <mergeCell ref="CNY4:COB4"/>
    <mergeCell ref="COC4:COF4"/>
    <mergeCell ref="CMK4:CMN4"/>
    <mergeCell ref="CMO4:CMR4"/>
    <mergeCell ref="CMS4:CMV4"/>
    <mergeCell ref="CMW4:CMZ4"/>
    <mergeCell ref="CNA4:CND4"/>
    <mergeCell ref="CNE4:CNH4"/>
    <mergeCell ref="CLM4:CLP4"/>
    <mergeCell ref="CLQ4:CLT4"/>
    <mergeCell ref="CLU4:CLX4"/>
    <mergeCell ref="CLY4:CMB4"/>
    <mergeCell ref="CMC4:CMF4"/>
    <mergeCell ref="CMG4:CMJ4"/>
    <mergeCell ref="CQC4:CQF4"/>
    <mergeCell ref="CQG4:CQJ4"/>
    <mergeCell ref="CQK4:CQN4"/>
    <mergeCell ref="CQO4:CQR4"/>
    <mergeCell ref="CQS4:CQV4"/>
    <mergeCell ref="CQW4:CQZ4"/>
    <mergeCell ref="CPE4:CPH4"/>
    <mergeCell ref="CPI4:CPL4"/>
    <mergeCell ref="CPM4:CPP4"/>
    <mergeCell ref="CPQ4:CPT4"/>
    <mergeCell ref="CPU4:CPX4"/>
    <mergeCell ref="CPY4:CQB4"/>
    <mergeCell ref="COG4:COJ4"/>
    <mergeCell ref="COK4:CON4"/>
    <mergeCell ref="COO4:COR4"/>
    <mergeCell ref="COS4:COV4"/>
    <mergeCell ref="COW4:COZ4"/>
    <mergeCell ref="CPA4:CPD4"/>
    <mergeCell ref="CSW4:CSZ4"/>
    <mergeCell ref="CTA4:CTD4"/>
    <mergeCell ref="CTE4:CTH4"/>
    <mergeCell ref="CTI4:CTL4"/>
    <mergeCell ref="CTM4:CTP4"/>
    <mergeCell ref="CTQ4:CTT4"/>
    <mergeCell ref="CRY4:CSB4"/>
    <mergeCell ref="CSC4:CSF4"/>
    <mergeCell ref="CSG4:CSJ4"/>
    <mergeCell ref="CSK4:CSN4"/>
    <mergeCell ref="CSO4:CSR4"/>
    <mergeCell ref="CSS4:CSV4"/>
    <mergeCell ref="CRA4:CRD4"/>
    <mergeCell ref="CRE4:CRH4"/>
    <mergeCell ref="CRI4:CRL4"/>
    <mergeCell ref="CRM4:CRP4"/>
    <mergeCell ref="CRQ4:CRT4"/>
    <mergeCell ref="CRU4:CRX4"/>
    <mergeCell ref="CVQ4:CVT4"/>
    <mergeCell ref="CVU4:CVX4"/>
    <mergeCell ref="CVY4:CWB4"/>
    <mergeCell ref="CWC4:CWF4"/>
    <mergeCell ref="CWG4:CWJ4"/>
    <mergeCell ref="CWK4:CWN4"/>
    <mergeCell ref="CUS4:CUV4"/>
    <mergeCell ref="CUW4:CUZ4"/>
    <mergeCell ref="CVA4:CVD4"/>
    <mergeCell ref="CVE4:CVH4"/>
    <mergeCell ref="CVI4:CVL4"/>
    <mergeCell ref="CVM4:CVP4"/>
    <mergeCell ref="CTU4:CTX4"/>
    <mergeCell ref="CTY4:CUB4"/>
    <mergeCell ref="CUC4:CUF4"/>
    <mergeCell ref="CUG4:CUJ4"/>
    <mergeCell ref="CUK4:CUN4"/>
    <mergeCell ref="CUO4:CUR4"/>
    <mergeCell ref="CYK4:CYN4"/>
    <mergeCell ref="CYO4:CYR4"/>
    <mergeCell ref="CYS4:CYV4"/>
    <mergeCell ref="CYW4:CYZ4"/>
    <mergeCell ref="CZA4:CZD4"/>
    <mergeCell ref="CZE4:CZH4"/>
    <mergeCell ref="CXM4:CXP4"/>
    <mergeCell ref="CXQ4:CXT4"/>
    <mergeCell ref="CXU4:CXX4"/>
    <mergeCell ref="CXY4:CYB4"/>
    <mergeCell ref="CYC4:CYF4"/>
    <mergeCell ref="CYG4:CYJ4"/>
    <mergeCell ref="CWO4:CWR4"/>
    <mergeCell ref="CWS4:CWV4"/>
    <mergeCell ref="CWW4:CWZ4"/>
    <mergeCell ref="CXA4:CXD4"/>
    <mergeCell ref="CXE4:CXH4"/>
    <mergeCell ref="CXI4:CXL4"/>
    <mergeCell ref="DBE4:DBH4"/>
    <mergeCell ref="DBI4:DBL4"/>
    <mergeCell ref="DBM4:DBP4"/>
    <mergeCell ref="DBQ4:DBT4"/>
    <mergeCell ref="DBU4:DBX4"/>
    <mergeCell ref="DBY4:DCB4"/>
    <mergeCell ref="DAG4:DAJ4"/>
    <mergeCell ref="DAK4:DAN4"/>
    <mergeCell ref="DAO4:DAR4"/>
    <mergeCell ref="DAS4:DAV4"/>
    <mergeCell ref="DAW4:DAZ4"/>
    <mergeCell ref="DBA4:DBD4"/>
    <mergeCell ref="CZI4:CZL4"/>
    <mergeCell ref="CZM4:CZP4"/>
    <mergeCell ref="CZQ4:CZT4"/>
    <mergeCell ref="CZU4:CZX4"/>
    <mergeCell ref="CZY4:DAB4"/>
    <mergeCell ref="DAC4:DAF4"/>
    <mergeCell ref="DDY4:DEB4"/>
    <mergeCell ref="DEC4:DEF4"/>
    <mergeCell ref="DEG4:DEJ4"/>
    <mergeCell ref="DEK4:DEN4"/>
    <mergeCell ref="DEO4:DER4"/>
    <mergeCell ref="DES4:DEV4"/>
    <mergeCell ref="DDA4:DDD4"/>
    <mergeCell ref="DDE4:DDH4"/>
    <mergeCell ref="DDI4:DDL4"/>
    <mergeCell ref="DDM4:DDP4"/>
    <mergeCell ref="DDQ4:DDT4"/>
    <mergeCell ref="DDU4:DDX4"/>
    <mergeCell ref="DCC4:DCF4"/>
    <mergeCell ref="DCG4:DCJ4"/>
    <mergeCell ref="DCK4:DCN4"/>
    <mergeCell ref="DCO4:DCR4"/>
    <mergeCell ref="DCS4:DCV4"/>
    <mergeCell ref="DCW4:DCZ4"/>
    <mergeCell ref="DGS4:DGV4"/>
    <mergeCell ref="DGW4:DGZ4"/>
    <mergeCell ref="DHA4:DHD4"/>
    <mergeCell ref="DHE4:DHH4"/>
    <mergeCell ref="DHI4:DHL4"/>
    <mergeCell ref="DHM4:DHP4"/>
    <mergeCell ref="DFU4:DFX4"/>
    <mergeCell ref="DFY4:DGB4"/>
    <mergeCell ref="DGC4:DGF4"/>
    <mergeCell ref="DGG4:DGJ4"/>
    <mergeCell ref="DGK4:DGN4"/>
    <mergeCell ref="DGO4:DGR4"/>
    <mergeCell ref="DEW4:DEZ4"/>
    <mergeCell ref="DFA4:DFD4"/>
    <mergeCell ref="DFE4:DFH4"/>
    <mergeCell ref="DFI4:DFL4"/>
    <mergeCell ref="DFM4:DFP4"/>
    <mergeCell ref="DFQ4:DFT4"/>
    <mergeCell ref="DJM4:DJP4"/>
    <mergeCell ref="DJQ4:DJT4"/>
    <mergeCell ref="DJU4:DJX4"/>
    <mergeCell ref="DJY4:DKB4"/>
    <mergeCell ref="DKC4:DKF4"/>
    <mergeCell ref="DKG4:DKJ4"/>
    <mergeCell ref="DIO4:DIR4"/>
    <mergeCell ref="DIS4:DIV4"/>
    <mergeCell ref="DIW4:DIZ4"/>
    <mergeCell ref="DJA4:DJD4"/>
    <mergeCell ref="DJE4:DJH4"/>
    <mergeCell ref="DJI4:DJL4"/>
    <mergeCell ref="DHQ4:DHT4"/>
    <mergeCell ref="DHU4:DHX4"/>
    <mergeCell ref="DHY4:DIB4"/>
    <mergeCell ref="DIC4:DIF4"/>
    <mergeCell ref="DIG4:DIJ4"/>
    <mergeCell ref="DIK4:DIN4"/>
    <mergeCell ref="DMG4:DMJ4"/>
    <mergeCell ref="DMK4:DMN4"/>
    <mergeCell ref="DMO4:DMR4"/>
    <mergeCell ref="DMS4:DMV4"/>
    <mergeCell ref="DMW4:DMZ4"/>
    <mergeCell ref="DNA4:DND4"/>
    <mergeCell ref="DLI4:DLL4"/>
    <mergeCell ref="DLM4:DLP4"/>
    <mergeCell ref="DLQ4:DLT4"/>
    <mergeCell ref="DLU4:DLX4"/>
    <mergeCell ref="DLY4:DMB4"/>
    <mergeCell ref="DMC4:DMF4"/>
    <mergeCell ref="DKK4:DKN4"/>
    <mergeCell ref="DKO4:DKR4"/>
    <mergeCell ref="DKS4:DKV4"/>
    <mergeCell ref="DKW4:DKZ4"/>
    <mergeCell ref="DLA4:DLD4"/>
    <mergeCell ref="DLE4:DLH4"/>
    <mergeCell ref="DPA4:DPD4"/>
    <mergeCell ref="DPE4:DPH4"/>
    <mergeCell ref="DPI4:DPL4"/>
    <mergeCell ref="DPM4:DPP4"/>
    <mergeCell ref="DPQ4:DPT4"/>
    <mergeCell ref="DPU4:DPX4"/>
    <mergeCell ref="DOC4:DOF4"/>
    <mergeCell ref="DOG4:DOJ4"/>
    <mergeCell ref="DOK4:DON4"/>
    <mergeCell ref="DOO4:DOR4"/>
    <mergeCell ref="DOS4:DOV4"/>
    <mergeCell ref="DOW4:DOZ4"/>
    <mergeCell ref="DNE4:DNH4"/>
    <mergeCell ref="DNI4:DNL4"/>
    <mergeCell ref="DNM4:DNP4"/>
    <mergeCell ref="DNQ4:DNT4"/>
    <mergeCell ref="DNU4:DNX4"/>
    <mergeCell ref="DNY4:DOB4"/>
    <mergeCell ref="DRU4:DRX4"/>
    <mergeCell ref="DRY4:DSB4"/>
    <mergeCell ref="DSC4:DSF4"/>
    <mergeCell ref="DSG4:DSJ4"/>
    <mergeCell ref="DSK4:DSN4"/>
    <mergeCell ref="DSO4:DSR4"/>
    <mergeCell ref="DQW4:DQZ4"/>
    <mergeCell ref="DRA4:DRD4"/>
    <mergeCell ref="DRE4:DRH4"/>
    <mergeCell ref="DRI4:DRL4"/>
    <mergeCell ref="DRM4:DRP4"/>
    <mergeCell ref="DRQ4:DRT4"/>
    <mergeCell ref="DPY4:DQB4"/>
    <mergeCell ref="DQC4:DQF4"/>
    <mergeCell ref="DQG4:DQJ4"/>
    <mergeCell ref="DQK4:DQN4"/>
    <mergeCell ref="DQO4:DQR4"/>
    <mergeCell ref="DQS4:DQV4"/>
    <mergeCell ref="DUO4:DUR4"/>
    <mergeCell ref="DUS4:DUV4"/>
    <mergeCell ref="DUW4:DUZ4"/>
    <mergeCell ref="DVA4:DVD4"/>
    <mergeCell ref="DVE4:DVH4"/>
    <mergeCell ref="DVI4:DVL4"/>
    <mergeCell ref="DTQ4:DTT4"/>
    <mergeCell ref="DTU4:DTX4"/>
    <mergeCell ref="DTY4:DUB4"/>
    <mergeCell ref="DUC4:DUF4"/>
    <mergeCell ref="DUG4:DUJ4"/>
    <mergeCell ref="DUK4:DUN4"/>
    <mergeCell ref="DSS4:DSV4"/>
    <mergeCell ref="DSW4:DSZ4"/>
    <mergeCell ref="DTA4:DTD4"/>
    <mergeCell ref="DTE4:DTH4"/>
    <mergeCell ref="DTI4:DTL4"/>
    <mergeCell ref="DTM4:DTP4"/>
    <mergeCell ref="DXI4:DXL4"/>
    <mergeCell ref="DXM4:DXP4"/>
    <mergeCell ref="DXQ4:DXT4"/>
    <mergeCell ref="DXU4:DXX4"/>
    <mergeCell ref="DXY4:DYB4"/>
    <mergeCell ref="DYC4:DYF4"/>
    <mergeCell ref="DWK4:DWN4"/>
    <mergeCell ref="DWO4:DWR4"/>
    <mergeCell ref="DWS4:DWV4"/>
    <mergeCell ref="DWW4:DWZ4"/>
    <mergeCell ref="DXA4:DXD4"/>
    <mergeCell ref="DXE4:DXH4"/>
    <mergeCell ref="DVM4:DVP4"/>
    <mergeCell ref="DVQ4:DVT4"/>
    <mergeCell ref="DVU4:DVX4"/>
    <mergeCell ref="DVY4:DWB4"/>
    <mergeCell ref="DWC4:DWF4"/>
    <mergeCell ref="DWG4:DWJ4"/>
    <mergeCell ref="EAC4:EAF4"/>
    <mergeCell ref="EAG4:EAJ4"/>
    <mergeCell ref="EAK4:EAN4"/>
    <mergeCell ref="EAO4:EAR4"/>
    <mergeCell ref="EAS4:EAV4"/>
    <mergeCell ref="EAW4:EAZ4"/>
    <mergeCell ref="DZE4:DZH4"/>
    <mergeCell ref="DZI4:DZL4"/>
    <mergeCell ref="DZM4:DZP4"/>
    <mergeCell ref="DZQ4:DZT4"/>
    <mergeCell ref="DZU4:DZX4"/>
    <mergeCell ref="DZY4:EAB4"/>
    <mergeCell ref="DYG4:DYJ4"/>
    <mergeCell ref="DYK4:DYN4"/>
    <mergeCell ref="DYO4:DYR4"/>
    <mergeCell ref="DYS4:DYV4"/>
    <mergeCell ref="DYW4:DYZ4"/>
    <mergeCell ref="DZA4:DZD4"/>
    <mergeCell ref="ECW4:ECZ4"/>
    <mergeCell ref="EDA4:EDD4"/>
    <mergeCell ref="EDE4:EDH4"/>
    <mergeCell ref="EDI4:EDL4"/>
    <mergeCell ref="EDM4:EDP4"/>
    <mergeCell ref="EDQ4:EDT4"/>
    <mergeCell ref="EBY4:ECB4"/>
    <mergeCell ref="ECC4:ECF4"/>
    <mergeCell ref="ECG4:ECJ4"/>
    <mergeCell ref="ECK4:ECN4"/>
    <mergeCell ref="ECO4:ECR4"/>
    <mergeCell ref="ECS4:ECV4"/>
    <mergeCell ref="EBA4:EBD4"/>
    <mergeCell ref="EBE4:EBH4"/>
    <mergeCell ref="EBI4:EBL4"/>
    <mergeCell ref="EBM4:EBP4"/>
    <mergeCell ref="EBQ4:EBT4"/>
    <mergeCell ref="EBU4:EBX4"/>
    <mergeCell ref="EFQ4:EFT4"/>
    <mergeCell ref="EFU4:EFX4"/>
    <mergeCell ref="EFY4:EGB4"/>
    <mergeCell ref="EGC4:EGF4"/>
    <mergeCell ref="EGG4:EGJ4"/>
    <mergeCell ref="EGK4:EGN4"/>
    <mergeCell ref="EES4:EEV4"/>
    <mergeCell ref="EEW4:EEZ4"/>
    <mergeCell ref="EFA4:EFD4"/>
    <mergeCell ref="EFE4:EFH4"/>
    <mergeCell ref="EFI4:EFL4"/>
    <mergeCell ref="EFM4:EFP4"/>
    <mergeCell ref="EDU4:EDX4"/>
    <mergeCell ref="EDY4:EEB4"/>
    <mergeCell ref="EEC4:EEF4"/>
    <mergeCell ref="EEG4:EEJ4"/>
    <mergeCell ref="EEK4:EEN4"/>
    <mergeCell ref="EEO4:EER4"/>
    <mergeCell ref="EIK4:EIN4"/>
    <mergeCell ref="EIO4:EIR4"/>
    <mergeCell ref="EIS4:EIV4"/>
    <mergeCell ref="EIW4:EIZ4"/>
    <mergeCell ref="EJA4:EJD4"/>
    <mergeCell ref="EJE4:EJH4"/>
    <mergeCell ref="EHM4:EHP4"/>
    <mergeCell ref="EHQ4:EHT4"/>
    <mergeCell ref="EHU4:EHX4"/>
    <mergeCell ref="EHY4:EIB4"/>
    <mergeCell ref="EIC4:EIF4"/>
    <mergeCell ref="EIG4:EIJ4"/>
    <mergeCell ref="EGO4:EGR4"/>
    <mergeCell ref="EGS4:EGV4"/>
    <mergeCell ref="EGW4:EGZ4"/>
    <mergeCell ref="EHA4:EHD4"/>
    <mergeCell ref="EHE4:EHH4"/>
    <mergeCell ref="EHI4:EHL4"/>
    <mergeCell ref="ELE4:ELH4"/>
    <mergeCell ref="ELI4:ELL4"/>
    <mergeCell ref="ELM4:ELP4"/>
    <mergeCell ref="ELQ4:ELT4"/>
    <mergeCell ref="ELU4:ELX4"/>
    <mergeCell ref="ELY4:EMB4"/>
    <mergeCell ref="EKG4:EKJ4"/>
    <mergeCell ref="EKK4:EKN4"/>
    <mergeCell ref="EKO4:EKR4"/>
    <mergeCell ref="EKS4:EKV4"/>
    <mergeCell ref="EKW4:EKZ4"/>
    <mergeCell ref="ELA4:ELD4"/>
    <mergeCell ref="EJI4:EJL4"/>
    <mergeCell ref="EJM4:EJP4"/>
    <mergeCell ref="EJQ4:EJT4"/>
    <mergeCell ref="EJU4:EJX4"/>
    <mergeCell ref="EJY4:EKB4"/>
    <mergeCell ref="EKC4:EKF4"/>
    <mergeCell ref="ENY4:EOB4"/>
    <mergeCell ref="EOC4:EOF4"/>
    <mergeCell ref="EOG4:EOJ4"/>
    <mergeCell ref="EOK4:EON4"/>
    <mergeCell ref="EOO4:EOR4"/>
    <mergeCell ref="EOS4:EOV4"/>
    <mergeCell ref="ENA4:END4"/>
    <mergeCell ref="ENE4:ENH4"/>
    <mergeCell ref="ENI4:ENL4"/>
    <mergeCell ref="ENM4:ENP4"/>
    <mergeCell ref="ENQ4:ENT4"/>
    <mergeCell ref="ENU4:ENX4"/>
    <mergeCell ref="EMC4:EMF4"/>
    <mergeCell ref="EMG4:EMJ4"/>
    <mergeCell ref="EMK4:EMN4"/>
    <mergeCell ref="EMO4:EMR4"/>
    <mergeCell ref="EMS4:EMV4"/>
    <mergeCell ref="EMW4:EMZ4"/>
    <mergeCell ref="EQS4:EQV4"/>
    <mergeCell ref="EQW4:EQZ4"/>
    <mergeCell ref="ERA4:ERD4"/>
    <mergeCell ref="ERE4:ERH4"/>
    <mergeCell ref="ERI4:ERL4"/>
    <mergeCell ref="ERM4:ERP4"/>
    <mergeCell ref="EPU4:EPX4"/>
    <mergeCell ref="EPY4:EQB4"/>
    <mergeCell ref="EQC4:EQF4"/>
    <mergeCell ref="EQG4:EQJ4"/>
    <mergeCell ref="EQK4:EQN4"/>
    <mergeCell ref="EQO4:EQR4"/>
    <mergeCell ref="EOW4:EOZ4"/>
    <mergeCell ref="EPA4:EPD4"/>
    <mergeCell ref="EPE4:EPH4"/>
    <mergeCell ref="EPI4:EPL4"/>
    <mergeCell ref="EPM4:EPP4"/>
    <mergeCell ref="EPQ4:EPT4"/>
    <mergeCell ref="ETM4:ETP4"/>
    <mergeCell ref="ETQ4:ETT4"/>
    <mergeCell ref="ETU4:ETX4"/>
    <mergeCell ref="ETY4:EUB4"/>
    <mergeCell ref="EUC4:EUF4"/>
    <mergeCell ref="EUG4:EUJ4"/>
    <mergeCell ref="ESO4:ESR4"/>
    <mergeCell ref="ESS4:ESV4"/>
    <mergeCell ref="ESW4:ESZ4"/>
    <mergeCell ref="ETA4:ETD4"/>
    <mergeCell ref="ETE4:ETH4"/>
    <mergeCell ref="ETI4:ETL4"/>
    <mergeCell ref="ERQ4:ERT4"/>
    <mergeCell ref="ERU4:ERX4"/>
    <mergeCell ref="ERY4:ESB4"/>
    <mergeCell ref="ESC4:ESF4"/>
    <mergeCell ref="ESG4:ESJ4"/>
    <mergeCell ref="ESK4:ESN4"/>
    <mergeCell ref="EWG4:EWJ4"/>
    <mergeCell ref="EWK4:EWN4"/>
    <mergeCell ref="EWO4:EWR4"/>
    <mergeCell ref="EWS4:EWV4"/>
    <mergeCell ref="EWW4:EWZ4"/>
    <mergeCell ref="EXA4:EXD4"/>
    <mergeCell ref="EVI4:EVL4"/>
    <mergeCell ref="EVM4:EVP4"/>
    <mergeCell ref="EVQ4:EVT4"/>
    <mergeCell ref="EVU4:EVX4"/>
    <mergeCell ref="EVY4:EWB4"/>
    <mergeCell ref="EWC4:EWF4"/>
    <mergeCell ref="EUK4:EUN4"/>
    <mergeCell ref="EUO4:EUR4"/>
    <mergeCell ref="EUS4:EUV4"/>
    <mergeCell ref="EUW4:EUZ4"/>
    <mergeCell ref="EVA4:EVD4"/>
    <mergeCell ref="EVE4:EVH4"/>
    <mergeCell ref="EZA4:EZD4"/>
    <mergeCell ref="EZE4:EZH4"/>
    <mergeCell ref="EZI4:EZL4"/>
    <mergeCell ref="EZM4:EZP4"/>
    <mergeCell ref="EZQ4:EZT4"/>
    <mergeCell ref="EZU4:EZX4"/>
    <mergeCell ref="EYC4:EYF4"/>
    <mergeCell ref="EYG4:EYJ4"/>
    <mergeCell ref="EYK4:EYN4"/>
    <mergeCell ref="EYO4:EYR4"/>
    <mergeCell ref="EYS4:EYV4"/>
    <mergeCell ref="EYW4:EYZ4"/>
    <mergeCell ref="EXE4:EXH4"/>
    <mergeCell ref="EXI4:EXL4"/>
    <mergeCell ref="EXM4:EXP4"/>
    <mergeCell ref="EXQ4:EXT4"/>
    <mergeCell ref="EXU4:EXX4"/>
    <mergeCell ref="EXY4:EYB4"/>
    <mergeCell ref="FBU4:FBX4"/>
    <mergeCell ref="FBY4:FCB4"/>
    <mergeCell ref="FCC4:FCF4"/>
    <mergeCell ref="FCG4:FCJ4"/>
    <mergeCell ref="FCK4:FCN4"/>
    <mergeCell ref="FCO4:FCR4"/>
    <mergeCell ref="FAW4:FAZ4"/>
    <mergeCell ref="FBA4:FBD4"/>
    <mergeCell ref="FBE4:FBH4"/>
    <mergeCell ref="FBI4:FBL4"/>
    <mergeCell ref="FBM4:FBP4"/>
    <mergeCell ref="FBQ4:FBT4"/>
    <mergeCell ref="EZY4:FAB4"/>
    <mergeCell ref="FAC4:FAF4"/>
    <mergeCell ref="FAG4:FAJ4"/>
    <mergeCell ref="FAK4:FAN4"/>
    <mergeCell ref="FAO4:FAR4"/>
    <mergeCell ref="FAS4:FAV4"/>
    <mergeCell ref="FEO4:FER4"/>
    <mergeCell ref="FES4:FEV4"/>
    <mergeCell ref="FEW4:FEZ4"/>
    <mergeCell ref="FFA4:FFD4"/>
    <mergeCell ref="FFE4:FFH4"/>
    <mergeCell ref="FFI4:FFL4"/>
    <mergeCell ref="FDQ4:FDT4"/>
    <mergeCell ref="FDU4:FDX4"/>
    <mergeCell ref="FDY4:FEB4"/>
    <mergeCell ref="FEC4:FEF4"/>
    <mergeCell ref="FEG4:FEJ4"/>
    <mergeCell ref="FEK4:FEN4"/>
    <mergeCell ref="FCS4:FCV4"/>
    <mergeCell ref="FCW4:FCZ4"/>
    <mergeCell ref="FDA4:FDD4"/>
    <mergeCell ref="FDE4:FDH4"/>
    <mergeCell ref="FDI4:FDL4"/>
    <mergeCell ref="FDM4:FDP4"/>
    <mergeCell ref="FHI4:FHL4"/>
    <mergeCell ref="FHM4:FHP4"/>
    <mergeCell ref="FHQ4:FHT4"/>
    <mergeCell ref="FHU4:FHX4"/>
    <mergeCell ref="FHY4:FIB4"/>
    <mergeCell ref="FIC4:FIF4"/>
    <mergeCell ref="FGK4:FGN4"/>
    <mergeCell ref="FGO4:FGR4"/>
    <mergeCell ref="FGS4:FGV4"/>
    <mergeCell ref="FGW4:FGZ4"/>
    <mergeCell ref="FHA4:FHD4"/>
    <mergeCell ref="FHE4:FHH4"/>
    <mergeCell ref="FFM4:FFP4"/>
    <mergeCell ref="FFQ4:FFT4"/>
    <mergeCell ref="FFU4:FFX4"/>
    <mergeCell ref="FFY4:FGB4"/>
    <mergeCell ref="FGC4:FGF4"/>
    <mergeCell ref="FGG4:FGJ4"/>
    <mergeCell ref="FKC4:FKF4"/>
    <mergeCell ref="FKG4:FKJ4"/>
    <mergeCell ref="FKK4:FKN4"/>
    <mergeCell ref="FKO4:FKR4"/>
    <mergeCell ref="FKS4:FKV4"/>
    <mergeCell ref="FKW4:FKZ4"/>
    <mergeCell ref="FJE4:FJH4"/>
    <mergeCell ref="FJI4:FJL4"/>
    <mergeCell ref="FJM4:FJP4"/>
    <mergeCell ref="FJQ4:FJT4"/>
    <mergeCell ref="FJU4:FJX4"/>
    <mergeCell ref="FJY4:FKB4"/>
    <mergeCell ref="FIG4:FIJ4"/>
    <mergeCell ref="FIK4:FIN4"/>
    <mergeCell ref="FIO4:FIR4"/>
    <mergeCell ref="FIS4:FIV4"/>
    <mergeCell ref="FIW4:FIZ4"/>
    <mergeCell ref="FJA4:FJD4"/>
    <mergeCell ref="FMW4:FMZ4"/>
    <mergeCell ref="FNA4:FND4"/>
    <mergeCell ref="FNE4:FNH4"/>
    <mergeCell ref="FNI4:FNL4"/>
    <mergeCell ref="FNM4:FNP4"/>
    <mergeCell ref="FNQ4:FNT4"/>
    <mergeCell ref="FLY4:FMB4"/>
    <mergeCell ref="FMC4:FMF4"/>
    <mergeCell ref="FMG4:FMJ4"/>
    <mergeCell ref="FMK4:FMN4"/>
    <mergeCell ref="FMO4:FMR4"/>
    <mergeCell ref="FMS4:FMV4"/>
    <mergeCell ref="FLA4:FLD4"/>
    <mergeCell ref="FLE4:FLH4"/>
    <mergeCell ref="FLI4:FLL4"/>
    <mergeCell ref="FLM4:FLP4"/>
    <mergeCell ref="FLQ4:FLT4"/>
    <mergeCell ref="FLU4:FLX4"/>
    <mergeCell ref="FPQ4:FPT4"/>
    <mergeCell ref="FPU4:FPX4"/>
    <mergeCell ref="FPY4:FQB4"/>
    <mergeCell ref="FQC4:FQF4"/>
    <mergeCell ref="FQG4:FQJ4"/>
    <mergeCell ref="FQK4:FQN4"/>
    <mergeCell ref="FOS4:FOV4"/>
    <mergeCell ref="FOW4:FOZ4"/>
    <mergeCell ref="FPA4:FPD4"/>
    <mergeCell ref="FPE4:FPH4"/>
    <mergeCell ref="FPI4:FPL4"/>
    <mergeCell ref="FPM4:FPP4"/>
    <mergeCell ref="FNU4:FNX4"/>
    <mergeCell ref="FNY4:FOB4"/>
    <mergeCell ref="FOC4:FOF4"/>
    <mergeCell ref="FOG4:FOJ4"/>
    <mergeCell ref="FOK4:FON4"/>
    <mergeCell ref="FOO4:FOR4"/>
    <mergeCell ref="FSK4:FSN4"/>
    <mergeCell ref="FSO4:FSR4"/>
    <mergeCell ref="FSS4:FSV4"/>
    <mergeCell ref="FSW4:FSZ4"/>
    <mergeCell ref="FTA4:FTD4"/>
    <mergeCell ref="FTE4:FTH4"/>
    <mergeCell ref="FRM4:FRP4"/>
    <mergeCell ref="FRQ4:FRT4"/>
    <mergeCell ref="FRU4:FRX4"/>
    <mergeCell ref="FRY4:FSB4"/>
    <mergeCell ref="FSC4:FSF4"/>
    <mergeCell ref="FSG4:FSJ4"/>
    <mergeCell ref="FQO4:FQR4"/>
    <mergeCell ref="FQS4:FQV4"/>
    <mergeCell ref="FQW4:FQZ4"/>
    <mergeCell ref="FRA4:FRD4"/>
    <mergeCell ref="FRE4:FRH4"/>
    <mergeCell ref="FRI4:FRL4"/>
    <mergeCell ref="FVE4:FVH4"/>
    <mergeCell ref="FVI4:FVL4"/>
    <mergeCell ref="FVM4:FVP4"/>
    <mergeCell ref="FVQ4:FVT4"/>
    <mergeCell ref="FVU4:FVX4"/>
    <mergeCell ref="FVY4:FWB4"/>
    <mergeCell ref="FUG4:FUJ4"/>
    <mergeCell ref="FUK4:FUN4"/>
    <mergeCell ref="FUO4:FUR4"/>
    <mergeCell ref="FUS4:FUV4"/>
    <mergeCell ref="FUW4:FUZ4"/>
    <mergeCell ref="FVA4:FVD4"/>
    <mergeCell ref="FTI4:FTL4"/>
    <mergeCell ref="FTM4:FTP4"/>
    <mergeCell ref="FTQ4:FTT4"/>
    <mergeCell ref="FTU4:FTX4"/>
    <mergeCell ref="FTY4:FUB4"/>
    <mergeCell ref="FUC4:FUF4"/>
    <mergeCell ref="FXY4:FYB4"/>
    <mergeCell ref="FYC4:FYF4"/>
    <mergeCell ref="FYG4:FYJ4"/>
    <mergeCell ref="FYK4:FYN4"/>
    <mergeCell ref="FYO4:FYR4"/>
    <mergeCell ref="FYS4:FYV4"/>
    <mergeCell ref="FXA4:FXD4"/>
    <mergeCell ref="FXE4:FXH4"/>
    <mergeCell ref="FXI4:FXL4"/>
    <mergeCell ref="FXM4:FXP4"/>
    <mergeCell ref="FXQ4:FXT4"/>
    <mergeCell ref="FXU4:FXX4"/>
    <mergeCell ref="FWC4:FWF4"/>
    <mergeCell ref="FWG4:FWJ4"/>
    <mergeCell ref="FWK4:FWN4"/>
    <mergeCell ref="FWO4:FWR4"/>
    <mergeCell ref="FWS4:FWV4"/>
    <mergeCell ref="FWW4:FWZ4"/>
    <mergeCell ref="GAS4:GAV4"/>
    <mergeCell ref="GAW4:GAZ4"/>
    <mergeCell ref="GBA4:GBD4"/>
    <mergeCell ref="GBE4:GBH4"/>
    <mergeCell ref="GBI4:GBL4"/>
    <mergeCell ref="GBM4:GBP4"/>
    <mergeCell ref="FZU4:FZX4"/>
    <mergeCell ref="FZY4:GAB4"/>
    <mergeCell ref="GAC4:GAF4"/>
    <mergeCell ref="GAG4:GAJ4"/>
    <mergeCell ref="GAK4:GAN4"/>
    <mergeCell ref="GAO4:GAR4"/>
    <mergeCell ref="FYW4:FYZ4"/>
    <mergeCell ref="FZA4:FZD4"/>
    <mergeCell ref="FZE4:FZH4"/>
    <mergeCell ref="FZI4:FZL4"/>
    <mergeCell ref="FZM4:FZP4"/>
    <mergeCell ref="FZQ4:FZT4"/>
    <mergeCell ref="GDM4:GDP4"/>
    <mergeCell ref="GDQ4:GDT4"/>
    <mergeCell ref="GDU4:GDX4"/>
    <mergeCell ref="GDY4:GEB4"/>
    <mergeCell ref="GEC4:GEF4"/>
    <mergeCell ref="GEG4:GEJ4"/>
    <mergeCell ref="GCO4:GCR4"/>
    <mergeCell ref="GCS4:GCV4"/>
    <mergeCell ref="GCW4:GCZ4"/>
    <mergeCell ref="GDA4:GDD4"/>
    <mergeCell ref="GDE4:GDH4"/>
    <mergeCell ref="GDI4:GDL4"/>
    <mergeCell ref="GBQ4:GBT4"/>
    <mergeCell ref="GBU4:GBX4"/>
    <mergeCell ref="GBY4:GCB4"/>
    <mergeCell ref="GCC4:GCF4"/>
    <mergeCell ref="GCG4:GCJ4"/>
    <mergeCell ref="GCK4:GCN4"/>
    <mergeCell ref="GGG4:GGJ4"/>
    <mergeCell ref="GGK4:GGN4"/>
    <mergeCell ref="GGO4:GGR4"/>
    <mergeCell ref="GGS4:GGV4"/>
    <mergeCell ref="GGW4:GGZ4"/>
    <mergeCell ref="GHA4:GHD4"/>
    <mergeCell ref="GFI4:GFL4"/>
    <mergeCell ref="GFM4:GFP4"/>
    <mergeCell ref="GFQ4:GFT4"/>
    <mergeCell ref="GFU4:GFX4"/>
    <mergeCell ref="GFY4:GGB4"/>
    <mergeCell ref="GGC4:GGF4"/>
    <mergeCell ref="GEK4:GEN4"/>
    <mergeCell ref="GEO4:GER4"/>
    <mergeCell ref="GES4:GEV4"/>
    <mergeCell ref="GEW4:GEZ4"/>
    <mergeCell ref="GFA4:GFD4"/>
    <mergeCell ref="GFE4:GFH4"/>
    <mergeCell ref="GJA4:GJD4"/>
    <mergeCell ref="GJE4:GJH4"/>
    <mergeCell ref="GJI4:GJL4"/>
    <mergeCell ref="GJM4:GJP4"/>
    <mergeCell ref="GJQ4:GJT4"/>
    <mergeCell ref="GJU4:GJX4"/>
    <mergeCell ref="GIC4:GIF4"/>
    <mergeCell ref="GIG4:GIJ4"/>
    <mergeCell ref="GIK4:GIN4"/>
    <mergeCell ref="GIO4:GIR4"/>
    <mergeCell ref="GIS4:GIV4"/>
    <mergeCell ref="GIW4:GIZ4"/>
    <mergeCell ref="GHE4:GHH4"/>
    <mergeCell ref="GHI4:GHL4"/>
    <mergeCell ref="GHM4:GHP4"/>
    <mergeCell ref="GHQ4:GHT4"/>
    <mergeCell ref="GHU4:GHX4"/>
    <mergeCell ref="GHY4:GIB4"/>
    <mergeCell ref="GLU4:GLX4"/>
    <mergeCell ref="GLY4:GMB4"/>
    <mergeCell ref="GMC4:GMF4"/>
    <mergeCell ref="GMG4:GMJ4"/>
    <mergeCell ref="GMK4:GMN4"/>
    <mergeCell ref="GMO4:GMR4"/>
    <mergeCell ref="GKW4:GKZ4"/>
    <mergeCell ref="GLA4:GLD4"/>
    <mergeCell ref="GLE4:GLH4"/>
    <mergeCell ref="GLI4:GLL4"/>
    <mergeCell ref="GLM4:GLP4"/>
    <mergeCell ref="GLQ4:GLT4"/>
    <mergeCell ref="GJY4:GKB4"/>
    <mergeCell ref="GKC4:GKF4"/>
    <mergeCell ref="GKG4:GKJ4"/>
    <mergeCell ref="GKK4:GKN4"/>
    <mergeCell ref="GKO4:GKR4"/>
    <mergeCell ref="GKS4:GKV4"/>
    <mergeCell ref="GOO4:GOR4"/>
    <mergeCell ref="GOS4:GOV4"/>
    <mergeCell ref="GOW4:GOZ4"/>
    <mergeCell ref="GPA4:GPD4"/>
    <mergeCell ref="GPE4:GPH4"/>
    <mergeCell ref="GPI4:GPL4"/>
    <mergeCell ref="GNQ4:GNT4"/>
    <mergeCell ref="GNU4:GNX4"/>
    <mergeCell ref="GNY4:GOB4"/>
    <mergeCell ref="GOC4:GOF4"/>
    <mergeCell ref="GOG4:GOJ4"/>
    <mergeCell ref="GOK4:GON4"/>
    <mergeCell ref="GMS4:GMV4"/>
    <mergeCell ref="GMW4:GMZ4"/>
    <mergeCell ref="GNA4:GND4"/>
    <mergeCell ref="GNE4:GNH4"/>
    <mergeCell ref="GNI4:GNL4"/>
    <mergeCell ref="GNM4:GNP4"/>
    <mergeCell ref="GRI4:GRL4"/>
    <mergeCell ref="GRM4:GRP4"/>
    <mergeCell ref="GRQ4:GRT4"/>
    <mergeCell ref="GRU4:GRX4"/>
    <mergeCell ref="GRY4:GSB4"/>
    <mergeCell ref="GSC4:GSF4"/>
    <mergeCell ref="GQK4:GQN4"/>
    <mergeCell ref="GQO4:GQR4"/>
    <mergeCell ref="GQS4:GQV4"/>
    <mergeCell ref="GQW4:GQZ4"/>
    <mergeCell ref="GRA4:GRD4"/>
    <mergeCell ref="GRE4:GRH4"/>
    <mergeCell ref="GPM4:GPP4"/>
    <mergeCell ref="GPQ4:GPT4"/>
    <mergeCell ref="GPU4:GPX4"/>
    <mergeCell ref="GPY4:GQB4"/>
    <mergeCell ref="GQC4:GQF4"/>
    <mergeCell ref="GQG4:GQJ4"/>
    <mergeCell ref="GUC4:GUF4"/>
    <mergeCell ref="GUG4:GUJ4"/>
    <mergeCell ref="GUK4:GUN4"/>
    <mergeCell ref="GUO4:GUR4"/>
    <mergeCell ref="GUS4:GUV4"/>
    <mergeCell ref="GUW4:GUZ4"/>
    <mergeCell ref="GTE4:GTH4"/>
    <mergeCell ref="GTI4:GTL4"/>
    <mergeCell ref="GTM4:GTP4"/>
    <mergeCell ref="GTQ4:GTT4"/>
    <mergeCell ref="GTU4:GTX4"/>
    <mergeCell ref="GTY4:GUB4"/>
    <mergeCell ref="GSG4:GSJ4"/>
    <mergeCell ref="GSK4:GSN4"/>
    <mergeCell ref="GSO4:GSR4"/>
    <mergeCell ref="GSS4:GSV4"/>
    <mergeCell ref="GSW4:GSZ4"/>
    <mergeCell ref="GTA4:GTD4"/>
    <mergeCell ref="GWW4:GWZ4"/>
    <mergeCell ref="GXA4:GXD4"/>
    <mergeCell ref="GXE4:GXH4"/>
    <mergeCell ref="GXI4:GXL4"/>
    <mergeCell ref="GXM4:GXP4"/>
    <mergeCell ref="GXQ4:GXT4"/>
    <mergeCell ref="GVY4:GWB4"/>
    <mergeCell ref="GWC4:GWF4"/>
    <mergeCell ref="GWG4:GWJ4"/>
    <mergeCell ref="GWK4:GWN4"/>
    <mergeCell ref="GWO4:GWR4"/>
    <mergeCell ref="GWS4:GWV4"/>
    <mergeCell ref="GVA4:GVD4"/>
    <mergeCell ref="GVE4:GVH4"/>
    <mergeCell ref="GVI4:GVL4"/>
    <mergeCell ref="GVM4:GVP4"/>
    <mergeCell ref="GVQ4:GVT4"/>
    <mergeCell ref="GVU4:GVX4"/>
    <mergeCell ref="GZQ4:GZT4"/>
    <mergeCell ref="GZU4:GZX4"/>
    <mergeCell ref="GZY4:HAB4"/>
    <mergeCell ref="HAC4:HAF4"/>
    <mergeCell ref="HAG4:HAJ4"/>
    <mergeCell ref="HAK4:HAN4"/>
    <mergeCell ref="GYS4:GYV4"/>
    <mergeCell ref="GYW4:GYZ4"/>
    <mergeCell ref="GZA4:GZD4"/>
    <mergeCell ref="GZE4:GZH4"/>
    <mergeCell ref="GZI4:GZL4"/>
    <mergeCell ref="GZM4:GZP4"/>
    <mergeCell ref="GXU4:GXX4"/>
    <mergeCell ref="GXY4:GYB4"/>
    <mergeCell ref="GYC4:GYF4"/>
    <mergeCell ref="GYG4:GYJ4"/>
    <mergeCell ref="GYK4:GYN4"/>
    <mergeCell ref="GYO4:GYR4"/>
    <mergeCell ref="HCK4:HCN4"/>
    <mergeCell ref="HCO4:HCR4"/>
    <mergeCell ref="HCS4:HCV4"/>
    <mergeCell ref="HCW4:HCZ4"/>
    <mergeCell ref="HDA4:HDD4"/>
    <mergeCell ref="HDE4:HDH4"/>
    <mergeCell ref="HBM4:HBP4"/>
    <mergeCell ref="HBQ4:HBT4"/>
    <mergeCell ref="HBU4:HBX4"/>
    <mergeCell ref="HBY4:HCB4"/>
    <mergeCell ref="HCC4:HCF4"/>
    <mergeCell ref="HCG4:HCJ4"/>
    <mergeCell ref="HAO4:HAR4"/>
    <mergeCell ref="HAS4:HAV4"/>
    <mergeCell ref="HAW4:HAZ4"/>
    <mergeCell ref="HBA4:HBD4"/>
    <mergeCell ref="HBE4:HBH4"/>
    <mergeCell ref="HBI4:HBL4"/>
    <mergeCell ref="HFE4:HFH4"/>
    <mergeCell ref="HFI4:HFL4"/>
    <mergeCell ref="HFM4:HFP4"/>
    <mergeCell ref="HFQ4:HFT4"/>
    <mergeCell ref="HFU4:HFX4"/>
    <mergeCell ref="HFY4:HGB4"/>
    <mergeCell ref="HEG4:HEJ4"/>
    <mergeCell ref="HEK4:HEN4"/>
    <mergeCell ref="HEO4:HER4"/>
    <mergeCell ref="HES4:HEV4"/>
    <mergeCell ref="HEW4:HEZ4"/>
    <mergeCell ref="HFA4:HFD4"/>
    <mergeCell ref="HDI4:HDL4"/>
    <mergeCell ref="HDM4:HDP4"/>
    <mergeCell ref="HDQ4:HDT4"/>
    <mergeCell ref="HDU4:HDX4"/>
    <mergeCell ref="HDY4:HEB4"/>
    <mergeCell ref="HEC4:HEF4"/>
    <mergeCell ref="HHY4:HIB4"/>
    <mergeCell ref="HIC4:HIF4"/>
    <mergeCell ref="HIG4:HIJ4"/>
    <mergeCell ref="HIK4:HIN4"/>
    <mergeCell ref="HIO4:HIR4"/>
    <mergeCell ref="HIS4:HIV4"/>
    <mergeCell ref="HHA4:HHD4"/>
    <mergeCell ref="HHE4:HHH4"/>
    <mergeCell ref="HHI4:HHL4"/>
    <mergeCell ref="HHM4:HHP4"/>
    <mergeCell ref="HHQ4:HHT4"/>
    <mergeCell ref="HHU4:HHX4"/>
    <mergeCell ref="HGC4:HGF4"/>
    <mergeCell ref="HGG4:HGJ4"/>
    <mergeCell ref="HGK4:HGN4"/>
    <mergeCell ref="HGO4:HGR4"/>
    <mergeCell ref="HGS4:HGV4"/>
    <mergeCell ref="HGW4:HGZ4"/>
    <mergeCell ref="HKS4:HKV4"/>
    <mergeCell ref="HKW4:HKZ4"/>
    <mergeCell ref="HLA4:HLD4"/>
    <mergeCell ref="HLE4:HLH4"/>
    <mergeCell ref="HLI4:HLL4"/>
    <mergeCell ref="HLM4:HLP4"/>
    <mergeCell ref="HJU4:HJX4"/>
    <mergeCell ref="HJY4:HKB4"/>
    <mergeCell ref="HKC4:HKF4"/>
    <mergeCell ref="HKG4:HKJ4"/>
    <mergeCell ref="HKK4:HKN4"/>
    <mergeCell ref="HKO4:HKR4"/>
    <mergeCell ref="HIW4:HIZ4"/>
    <mergeCell ref="HJA4:HJD4"/>
    <mergeCell ref="HJE4:HJH4"/>
    <mergeCell ref="HJI4:HJL4"/>
    <mergeCell ref="HJM4:HJP4"/>
    <mergeCell ref="HJQ4:HJT4"/>
    <mergeCell ref="HNM4:HNP4"/>
    <mergeCell ref="HNQ4:HNT4"/>
    <mergeCell ref="HNU4:HNX4"/>
    <mergeCell ref="HNY4:HOB4"/>
    <mergeCell ref="HOC4:HOF4"/>
    <mergeCell ref="HOG4:HOJ4"/>
    <mergeCell ref="HMO4:HMR4"/>
    <mergeCell ref="HMS4:HMV4"/>
    <mergeCell ref="HMW4:HMZ4"/>
    <mergeCell ref="HNA4:HND4"/>
    <mergeCell ref="HNE4:HNH4"/>
    <mergeCell ref="HNI4:HNL4"/>
    <mergeCell ref="HLQ4:HLT4"/>
    <mergeCell ref="HLU4:HLX4"/>
    <mergeCell ref="HLY4:HMB4"/>
    <mergeCell ref="HMC4:HMF4"/>
    <mergeCell ref="HMG4:HMJ4"/>
    <mergeCell ref="HMK4:HMN4"/>
    <mergeCell ref="HQG4:HQJ4"/>
    <mergeCell ref="HQK4:HQN4"/>
    <mergeCell ref="HQO4:HQR4"/>
    <mergeCell ref="HQS4:HQV4"/>
    <mergeCell ref="HQW4:HQZ4"/>
    <mergeCell ref="HRA4:HRD4"/>
    <mergeCell ref="HPI4:HPL4"/>
    <mergeCell ref="HPM4:HPP4"/>
    <mergeCell ref="HPQ4:HPT4"/>
    <mergeCell ref="HPU4:HPX4"/>
    <mergeCell ref="HPY4:HQB4"/>
    <mergeCell ref="HQC4:HQF4"/>
    <mergeCell ref="HOK4:HON4"/>
    <mergeCell ref="HOO4:HOR4"/>
    <mergeCell ref="HOS4:HOV4"/>
    <mergeCell ref="HOW4:HOZ4"/>
    <mergeCell ref="HPA4:HPD4"/>
    <mergeCell ref="HPE4:HPH4"/>
    <mergeCell ref="HTA4:HTD4"/>
    <mergeCell ref="HTE4:HTH4"/>
    <mergeCell ref="HTI4:HTL4"/>
    <mergeCell ref="HTM4:HTP4"/>
    <mergeCell ref="HTQ4:HTT4"/>
    <mergeCell ref="HTU4:HTX4"/>
    <mergeCell ref="HSC4:HSF4"/>
    <mergeCell ref="HSG4:HSJ4"/>
    <mergeCell ref="HSK4:HSN4"/>
    <mergeCell ref="HSO4:HSR4"/>
    <mergeCell ref="HSS4:HSV4"/>
    <mergeCell ref="HSW4:HSZ4"/>
    <mergeCell ref="HRE4:HRH4"/>
    <mergeCell ref="HRI4:HRL4"/>
    <mergeCell ref="HRM4:HRP4"/>
    <mergeCell ref="HRQ4:HRT4"/>
    <mergeCell ref="HRU4:HRX4"/>
    <mergeCell ref="HRY4:HSB4"/>
    <mergeCell ref="HVU4:HVX4"/>
    <mergeCell ref="HVY4:HWB4"/>
    <mergeCell ref="HWC4:HWF4"/>
    <mergeCell ref="HWG4:HWJ4"/>
    <mergeCell ref="HWK4:HWN4"/>
    <mergeCell ref="HWO4:HWR4"/>
    <mergeCell ref="HUW4:HUZ4"/>
    <mergeCell ref="HVA4:HVD4"/>
    <mergeCell ref="HVE4:HVH4"/>
    <mergeCell ref="HVI4:HVL4"/>
    <mergeCell ref="HVM4:HVP4"/>
    <mergeCell ref="HVQ4:HVT4"/>
    <mergeCell ref="HTY4:HUB4"/>
    <mergeCell ref="HUC4:HUF4"/>
    <mergeCell ref="HUG4:HUJ4"/>
    <mergeCell ref="HUK4:HUN4"/>
    <mergeCell ref="HUO4:HUR4"/>
    <mergeCell ref="HUS4:HUV4"/>
    <mergeCell ref="HYO4:HYR4"/>
    <mergeCell ref="HYS4:HYV4"/>
    <mergeCell ref="HYW4:HYZ4"/>
    <mergeCell ref="HZA4:HZD4"/>
    <mergeCell ref="HZE4:HZH4"/>
    <mergeCell ref="HZI4:HZL4"/>
    <mergeCell ref="HXQ4:HXT4"/>
    <mergeCell ref="HXU4:HXX4"/>
    <mergeCell ref="HXY4:HYB4"/>
    <mergeCell ref="HYC4:HYF4"/>
    <mergeCell ref="HYG4:HYJ4"/>
    <mergeCell ref="HYK4:HYN4"/>
    <mergeCell ref="HWS4:HWV4"/>
    <mergeCell ref="HWW4:HWZ4"/>
    <mergeCell ref="HXA4:HXD4"/>
    <mergeCell ref="HXE4:HXH4"/>
    <mergeCell ref="HXI4:HXL4"/>
    <mergeCell ref="HXM4:HXP4"/>
    <mergeCell ref="IBI4:IBL4"/>
    <mergeCell ref="IBM4:IBP4"/>
    <mergeCell ref="IBQ4:IBT4"/>
    <mergeCell ref="IBU4:IBX4"/>
    <mergeCell ref="IBY4:ICB4"/>
    <mergeCell ref="ICC4:ICF4"/>
    <mergeCell ref="IAK4:IAN4"/>
    <mergeCell ref="IAO4:IAR4"/>
    <mergeCell ref="IAS4:IAV4"/>
    <mergeCell ref="IAW4:IAZ4"/>
    <mergeCell ref="IBA4:IBD4"/>
    <mergeCell ref="IBE4:IBH4"/>
    <mergeCell ref="HZM4:HZP4"/>
    <mergeCell ref="HZQ4:HZT4"/>
    <mergeCell ref="HZU4:HZX4"/>
    <mergeCell ref="HZY4:IAB4"/>
    <mergeCell ref="IAC4:IAF4"/>
    <mergeCell ref="IAG4:IAJ4"/>
    <mergeCell ref="IEC4:IEF4"/>
    <mergeCell ref="IEG4:IEJ4"/>
    <mergeCell ref="IEK4:IEN4"/>
    <mergeCell ref="IEO4:IER4"/>
    <mergeCell ref="IES4:IEV4"/>
    <mergeCell ref="IEW4:IEZ4"/>
    <mergeCell ref="IDE4:IDH4"/>
    <mergeCell ref="IDI4:IDL4"/>
    <mergeCell ref="IDM4:IDP4"/>
    <mergeCell ref="IDQ4:IDT4"/>
    <mergeCell ref="IDU4:IDX4"/>
    <mergeCell ref="IDY4:IEB4"/>
    <mergeCell ref="ICG4:ICJ4"/>
    <mergeCell ref="ICK4:ICN4"/>
    <mergeCell ref="ICO4:ICR4"/>
    <mergeCell ref="ICS4:ICV4"/>
    <mergeCell ref="ICW4:ICZ4"/>
    <mergeCell ref="IDA4:IDD4"/>
    <mergeCell ref="IGW4:IGZ4"/>
    <mergeCell ref="IHA4:IHD4"/>
    <mergeCell ref="IHE4:IHH4"/>
    <mergeCell ref="IHI4:IHL4"/>
    <mergeCell ref="IHM4:IHP4"/>
    <mergeCell ref="IHQ4:IHT4"/>
    <mergeCell ref="IFY4:IGB4"/>
    <mergeCell ref="IGC4:IGF4"/>
    <mergeCell ref="IGG4:IGJ4"/>
    <mergeCell ref="IGK4:IGN4"/>
    <mergeCell ref="IGO4:IGR4"/>
    <mergeCell ref="IGS4:IGV4"/>
    <mergeCell ref="IFA4:IFD4"/>
    <mergeCell ref="IFE4:IFH4"/>
    <mergeCell ref="IFI4:IFL4"/>
    <mergeCell ref="IFM4:IFP4"/>
    <mergeCell ref="IFQ4:IFT4"/>
    <mergeCell ref="IFU4:IFX4"/>
    <mergeCell ref="IJQ4:IJT4"/>
    <mergeCell ref="IJU4:IJX4"/>
    <mergeCell ref="IJY4:IKB4"/>
    <mergeCell ref="IKC4:IKF4"/>
    <mergeCell ref="IKG4:IKJ4"/>
    <mergeCell ref="IKK4:IKN4"/>
    <mergeCell ref="IIS4:IIV4"/>
    <mergeCell ref="IIW4:IIZ4"/>
    <mergeCell ref="IJA4:IJD4"/>
    <mergeCell ref="IJE4:IJH4"/>
    <mergeCell ref="IJI4:IJL4"/>
    <mergeCell ref="IJM4:IJP4"/>
    <mergeCell ref="IHU4:IHX4"/>
    <mergeCell ref="IHY4:IIB4"/>
    <mergeCell ref="IIC4:IIF4"/>
    <mergeCell ref="IIG4:IIJ4"/>
    <mergeCell ref="IIK4:IIN4"/>
    <mergeCell ref="IIO4:IIR4"/>
    <mergeCell ref="IMK4:IMN4"/>
    <mergeCell ref="IMO4:IMR4"/>
    <mergeCell ref="IMS4:IMV4"/>
    <mergeCell ref="IMW4:IMZ4"/>
    <mergeCell ref="INA4:IND4"/>
    <mergeCell ref="INE4:INH4"/>
    <mergeCell ref="ILM4:ILP4"/>
    <mergeCell ref="ILQ4:ILT4"/>
    <mergeCell ref="ILU4:ILX4"/>
    <mergeCell ref="ILY4:IMB4"/>
    <mergeCell ref="IMC4:IMF4"/>
    <mergeCell ref="IMG4:IMJ4"/>
    <mergeCell ref="IKO4:IKR4"/>
    <mergeCell ref="IKS4:IKV4"/>
    <mergeCell ref="IKW4:IKZ4"/>
    <mergeCell ref="ILA4:ILD4"/>
    <mergeCell ref="ILE4:ILH4"/>
    <mergeCell ref="ILI4:ILL4"/>
    <mergeCell ref="IPE4:IPH4"/>
    <mergeCell ref="IPI4:IPL4"/>
    <mergeCell ref="IPM4:IPP4"/>
    <mergeCell ref="IPQ4:IPT4"/>
    <mergeCell ref="IPU4:IPX4"/>
    <mergeCell ref="IPY4:IQB4"/>
    <mergeCell ref="IOG4:IOJ4"/>
    <mergeCell ref="IOK4:ION4"/>
    <mergeCell ref="IOO4:IOR4"/>
    <mergeCell ref="IOS4:IOV4"/>
    <mergeCell ref="IOW4:IOZ4"/>
    <mergeCell ref="IPA4:IPD4"/>
    <mergeCell ref="INI4:INL4"/>
    <mergeCell ref="INM4:INP4"/>
    <mergeCell ref="INQ4:INT4"/>
    <mergeCell ref="INU4:INX4"/>
    <mergeCell ref="INY4:IOB4"/>
    <mergeCell ref="IOC4:IOF4"/>
    <mergeCell ref="IRY4:ISB4"/>
    <mergeCell ref="ISC4:ISF4"/>
    <mergeCell ref="ISG4:ISJ4"/>
    <mergeCell ref="ISK4:ISN4"/>
    <mergeCell ref="ISO4:ISR4"/>
    <mergeCell ref="ISS4:ISV4"/>
    <mergeCell ref="IRA4:IRD4"/>
    <mergeCell ref="IRE4:IRH4"/>
    <mergeCell ref="IRI4:IRL4"/>
    <mergeCell ref="IRM4:IRP4"/>
    <mergeCell ref="IRQ4:IRT4"/>
    <mergeCell ref="IRU4:IRX4"/>
    <mergeCell ref="IQC4:IQF4"/>
    <mergeCell ref="IQG4:IQJ4"/>
    <mergeCell ref="IQK4:IQN4"/>
    <mergeCell ref="IQO4:IQR4"/>
    <mergeCell ref="IQS4:IQV4"/>
    <mergeCell ref="IQW4:IQZ4"/>
    <mergeCell ref="IUS4:IUV4"/>
    <mergeCell ref="IUW4:IUZ4"/>
    <mergeCell ref="IVA4:IVD4"/>
    <mergeCell ref="IVE4:IVH4"/>
    <mergeCell ref="IVI4:IVL4"/>
    <mergeCell ref="IVM4:IVP4"/>
    <mergeCell ref="ITU4:ITX4"/>
    <mergeCell ref="ITY4:IUB4"/>
    <mergeCell ref="IUC4:IUF4"/>
    <mergeCell ref="IUG4:IUJ4"/>
    <mergeCell ref="IUK4:IUN4"/>
    <mergeCell ref="IUO4:IUR4"/>
    <mergeCell ref="ISW4:ISZ4"/>
    <mergeCell ref="ITA4:ITD4"/>
    <mergeCell ref="ITE4:ITH4"/>
    <mergeCell ref="ITI4:ITL4"/>
    <mergeCell ref="ITM4:ITP4"/>
    <mergeCell ref="ITQ4:ITT4"/>
    <mergeCell ref="IXM4:IXP4"/>
    <mergeCell ref="IXQ4:IXT4"/>
    <mergeCell ref="IXU4:IXX4"/>
    <mergeCell ref="IXY4:IYB4"/>
    <mergeCell ref="IYC4:IYF4"/>
    <mergeCell ref="IYG4:IYJ4"/>
    <mergeCell ref="IWO4:IWR4"/>
    <mergeCell ref="IWS4:IWV4"/>
    <mergeCell ref="IWW4:IWZ4"/>
    <mergeCell ref="IXA4:IXD4"/>
    <mergeCell ref="IXE4:IXH4"/>
    <mergeCell ref="IXI4:IXL4"/>
    <mergeCell ref="IVQ4:IVT4"/>
    <mergeCell ref="IVU4:IVX4"/>
    <mergeCell ref="IVY4:IWB4"/>
    <mergeCell ref="IWC4:IWF4"/>
    <mergeCell ref="IWG4:IWJ4"/>
    <mergeCell ref="IWK4:IWN4"/>
    <mergeCell ref="JAG4:JAJ4"/>
    <mergeCell ref="JAK4:JAN4"/>
    <mergeCell ref="JAO4:JAR4"/>
    <mergeCell ref="JAS4:JAV4"/>
    <mergeCell ref="JAW4:JAZ4"/>
    <mergeCell ref="JBA4:JBD4"/>
    <mergeCell ref="IZI4:IZL4"/>
    <mergeCell ref="IZM4:IZP4"/>
    <mergeCell ref="IZQ4:IZT4"/>
    <mergeCell ref="IZU4:IZX4"/>
    <mergeCell ref="IZY4:JAB4"/>
    <mergeCell ref="JAC4:JAF4"/>
    <mergeCell ref="IYK4:IYN4"/>
    <mergeCell ref="IYO4:IYR4"/>
    <mergeCell ref="IYS4:IYV4"/>
    <mergeCell ref="IYW4:IYZ4"/>
    <mergeCell ref="IZA4:IZD4"/>
    <mergeCell ref="IZE4:IZH4"/>
    <mergeCell ref="JDA4:JDD4"/>
    <mergeCell ref="JDE4:JDH4"/>
    <mergeCell ref="JDI4:JDL4"/>
    <mergeCell ref="JDM4:JDP4"/>
    <mergeCell ref="JDQ4:JDT4"/>
    <mergeCell ref="JDU4:JDX4"/>
    <mergeCell ref="JCC4:JCF4"/>
    <mergeCell ref="JCG4:JCJ4"/>
    <mergeCell ref="JCK4:JCN4"/>
    <mergeCell ref="JCO4:JCR4"/>
    <mergeCell ref="JCS4:JCV4"/>
    <mergeCell ref="JCW4:JCZ4"/>
    <mergeCell ref="JBE4:JBH4"/>
    <mergeCell ref="JBI4:JBL4"/>
    <mergeCell ref="JBM4:JBP4"/>
    <mergeCell ref="JBQ4:JBT4"/>
    <mergeCell ref="JBU4:JBX4"/>
    <mergeCell ref="JBY4:JCB4"/>
    <mergeCell ref="JFU4:JFX4"/>
    <mergeCell ref="JFY4:JGB4"/>
    <mergeCell ref="JGC4:JGF4"/>
    <mergeCell ref="JGG4:JGJ4"/>
    <mergeCell ref="JGK4:JGN4"/>
    <mergeCell ref="JGO4:JGR4"/>
    <mergeCell ref="JEW4:JEZ4"/>
    <mergeCell ref="JFA4:JFD4"/>
    <mergeCell ref="JFE4:JFH4"/>
    <mergeCell ref="JFI4:JFL4"/>
    <mergeCell ref="JFM4:JFP4"/>
    <mergeCell ref="JFQ4:JFT4"/>
    <mergeCell ref="JDY4:JEB4"/>
    <mergeCell ref="JEC4:JEF4"/>
    <mergeCell ref="JEG4:JEJ4"/>
    <mergeCell ref="JEK4:JEN4"/>
    <mergeCell ref="JEO4:JER4"/>
    <mergeCell ref="JES4:JEV4"/>
    <mergeCell ref="JIO4:JIR4"/>
    <mergeCell ref="JIS4:JIV4"/>
    <mergeCell ref="JIW4:JIZ4"/>
    <mergeCell ref="JJA4:JJD4"/>
    <mergeCell ref="JJE4:JJH4"/>
    <mergeCell ref="JJI4:JJL4"/>
    <mergeCell ref="JHQ4:JHT4"/>
    <mergeCell ref="JHU4:JHX4"/>
    <mergeCell ref="JHY4:JIB4"/>
    <mergeCell ref="JIC4:JIF4"/>
    <mergeCell ref="JIG4:JIJ4"/>
    <mergeCell ref="JIK4:JIN4"/>
    <mergeCell ref="JGS4:JGV4"/>
    <mergeCell ref="JGW4:JGZ4"/>
    <mergeCell ref="JHA4:JHD4"/>
    <mergeCell ref="JHE4:JHH4"/>
    <mergeCell ref="JHI4:JHL4"/>
    <mergeCell ref="JHM4:JHP4"/>
    <mergeCell ref="JLI4:JLL4"/>
    <mergeCell ref="JLM4:JLP4"/>
    <mergeCell ref="JLQ4:JLT4"/>
    <mergeCell ref="JLU4:JLX4"/>
    <mergeCell ref="JLY4:JMB4"/>
    <mergeCell ref="JMC4:JMF4"/>
    <mergeCell ref="JKK4:JKN4"/>
    <mergeCell ref="JKO4:JKR4"/>
    <mergeCell ref="JKS4:JKV4"/>
    <mergeCell ref="JKW4:JKZ4"/>
    <mergeCell ref="JLA4:JLD4"/>
    <mergeCell ref="JLE4:JLH4"/>
    <mergeCell ref="JJM4:JJP4"/>
    <mergeCell ref="JJQ4:JJT4"/>
    <mergeCell ref="JJU4:JJX4"/>
    <mergeCell ref="JJY4:JKB4"/>
    <mergeCell ref="JKC4:JKF4"/>
    <mergeCell ref="JKG4:JKJ4"/>
    <mergeCell ref="JOC4:JOF4"/>
    <mergeCell ref="JOG4:JOJ4"/>
    <mergeCell ref="JOK4:JON4"/>
    <mergeCell ref="JOO4:JOR4"/>
    <mergeCell ref="JOS4:JOV4"/>
    <mergeCell ref="JOW4:JOZ4"/>
    <mergeCell ref="JNE4:JNH4"/>
    <mergeCell ref="JNI4:JNL4"/>
    <mergeCell ref="JNM4:JNP4"/>
    <mergeCell ref="JNQ4:JNT4"/>
    <mergeCell ref="JNU4:JNX4"/>
    <mergeCell ref="JNY4:JOB4"/>
    <mergeCell ref="JMG4:JMJ4"/>
    <mergeCell ref="JMK4:JMN4"/>
    <mergeCell ref="JMO4:JMR4"/>
    <mergeCell ref="JMS4:JMV4"/>
    <mergeCell ref="JMW4:JMZ4"/>
    <mergeCell ref="JNA4:JND4"/>
    <mergeCell ref="JQW4:JQZ4"/>
    <mergeCell ref="JRA4:JRD4"/>
    <mergeCell ref="JRE4:JRH4"/>
    <mergeCell ref="JRI4:JRL4"/>
    <mergeCell ref="JRM4:JRP4"/>
    <mergeCell ref="JRQ4:JRT4"/>
    <mergeCell ref="JPY4:JQB4"/>
    <mergeCell ref="JQC4:JQF4"/>
    <mergeCell ref="JQG4:JQJ4"/>
    <mergeCell ref="JQK4:JQN4"/>
    <mergeCell ref="JQO4:JQR4"/>
    <mergeCell ref="JQS4:JQV4"/>
    <mergeCell ref="JPA4:JPD4"/>
    <mergeCell ref="JPE4:JPH4"/>
    <mergeCell ref="JPI4:JPL4"/>
    <mergeCell ref="JPM4:JPP4"/>
    <mergeCell ref="JPQ4:JPT4"/>
    <mergeCell ref="JPU4:JPX4"/>
    <mergeCell ref="JTQ4:JTT4"/>
    <mergeCell ref="JTU4:JTX4"/>
    <mergeCell ref="JTY4:JUB4"/>
    <mergeCell ref="JUC4:JUF4"/>
    <mergeCell ref="JUG4:JUJ4"/>
    <mergeCell ref="JUK4:JUN4"/>
    <mergeCell ref="JSS4:JSV4"/>
    <mergeCell ref="JSW4:JSZ4"/>
    <mergeCell ref="JTA4:JTD4"/>
    <mergeCell ref="JTE4:JTH4"/>
    <mergeCell ref="JTI4:JTL4"/>
    <mergeCell ref="JTM4:JTP4"/>
    <mergeCell ref="JRU4:JRX4"/>
    <mergeCell ref="JRY4:JSB4"/>
    <mergeCell ref="JSC4:JSF4"/>
    <mergeCell ref="JSG4:JSJ4"/>
    <mergeCell ref="JSK4:JSN4"/>
    <mergeCell ref="JSO4:JSR4"/>
    <mergeCell ref="JWK4:JWN4"/>
    <mergeCell ref="JWO4:JWR4"/>
    <mergeCell ref="JWS4:JWV4"/>
    <mergeCell ref="JWW4:JWZ4"/>
    <mergeCell ref="JXA4:JXD4"/>
    <mergeCell ref="JXE4:JXH4"/>
    <mergeCell ref="JVM4:JVP4"/>
    <mergeCell ref="JVQ4:JVT4"/>
    <mergeCell ref="JVU4:JVX4"/>
    <mergeCell ref="JVY4:JWB4"/>
    <mergeCell ref="JWC4:JWF4"/>
    <mergeCell ref="JWG4:JWJ4"/>
    <mergeCell ref="JUO4:JUR4"/>
    <mergeCell ref="JUS4:JUV4"/>
    <mergeCell ref="JUW4:JUZ4"/>
    <mergeCell ref="JVA4:JVD4"/>
    <mergeCell ref="JVE4:JVH4"/>
    <mergeCell ref="JVI4:JVL4"/>
    <mergeCell ref="JZE4:JZH4"/>
    <mergeCell ref="JZI4:JZL4"/>
    <mergeCell ref="JZM4:JZP4"/>
    <mergeCell ref="JZQ4:JZT4"/>
    <mergeCell ref="JZU4:JZX4"/>
    <mergeCell ref="JZY4:KAB4"/>
    <mergeCell ref="JYG4:JYJ4"/>
    <mergeCell ref="JYK4:JYN4"/>
    <mergeCell ref="JYO4:JYR4"/>
    <mergeCell ref="JYS4:JYV4"/>
    <mergeCell ref="JYW4:JYZ4"/>
    <mergeCell ref="JZA4:JZD4"/>
    <mergeCell ref="JXI4:JXL4"/>
    <mergeCell ref="JXM4:JXP4"/>
    <mergeCell ref="JXQ4:JXT4"/>
    <mergeCell ref="JXU4:JXX4"/>
    <mergeCell ref="JXY4:JYB4"/>
    <mergeCell ref="JYC4:JYF4"/>
    <mergeCell ref="KBY4:KCB4"/>
    <mergeCell ref="KCC4:KCF4"/>
    <mergeCell ref="KCG4:KCJ4"/>
    <mergeCell ref="KCK4:KCN4"/>
    <mergeCell ref="KCO4:KCR4"/>
    <mergeCell ref="KCS4:KCV4"/>
    <mergeCell ref="KBA4:KBD4"/>
    <mergeCell ref="KBE4:KBH4"/>
    <mergeCell ref="KBI4:KBL4"/>
    <mergeCell ref="KBM4:KBP4"/>
    <mergeCell ref="KBQ4:KBT4"/>
    <mergeCell ref="KBU4:KBX4"/>
    <mergeCell ref="KAC4:KAF4"/>
    <mergeCell ref="KAG4:KAJ4"/>
    <mergeCell ref="KAK4:KAN4"/>
    <mergeCell ref="KAO4:KAR4"/>
    <mergeCell ref="KAS4:KAV4"/>
    <mergeCell ref="KAW4:KAZ4"/>
    <mergeCell ref="KES4:KEV4"/>
    <mergeCell ref="KEW4:KEZ4"/>
    <mergeCell ref="KFA4:KFD4"/>
    <mergeCell ref="KFE4:KFH4"/>
    <mergeCell ref="KFI4:KFL4"/>
    <mergeCell ref="KFM4:KFP4"/>
    <mergeCell ref="KDU4:KDX4"/>
    <mergeCell ref="KDY4:KEB4"/>
    <mergeCell ref="KEC4:KEF4"/>
    <mergeCell ref="KEG4:KEJ4"/>
    <mergeCell ref="KEK4:KEN4"/>
    <mergeCell ref="KEO4:KER4"/>
    <mergeCell ref="KCW4:KCZ4"/>
    <mergeCell ref="KDA4:KDD4"/>
    <mergeCell ref="KDE4:KDH4"/>
    <mergeCell ref="KDI4:KDL4"/>
    <mergeCell ref="KDM4:KDP4"/>
    <mergeCell ref="KDQ4:KDT4"/>
    <mergeCell ref="KHM4:KHP4"/>
    <mergeCell ref="KHQ4:KHT4"/>
    <mergeCell ref="KHU4:KHX4"/>
    <mergeCell ref="KHY4:KIB4"/>
    <mergeCell ref="KIC4:KIF4"/>
    <mergeCell ref="KIG4:KIJ4"/>
    <mergeCell ref="KGO4:KGR4"/>
    <mergeCell ref="KGS4:KGV4"/>
    <mergeCell ref="KGW4:KGZ4"/>
    <mergeCell ref="KHA4:KHD4"/>
    <mergeCell ref="KHE4:KHH4"/>
    <mergeCell ref="KHI4:KHL4"/>
    <mergeCell ref="KFQ4:KFT4"/>
    <mergeCell ref="KFU4:KFX4"/>
    <mergeCell ref="KFY4:KGB4"/>
    <mergeCell ref="KGC4:KGF4"/>
    <mergeCell ref="KGG4:KGJ4"/>
    <mergeCell ref="KGK4:KGN4"/>
    <mergeCell ref="KKG4:KKJ4"/>
    <mergeCell ref="KKK4:KKN4"/>
    <mergeCell ref="KKO4:KKR4"/>
    <mergeCell ref="KKS4:KKV4"/>
    <mergeCell ref="KKW4:KKZ4"/>
    <mergeCell ref="KLA4:KLD4"/>
    <mergeCell ref="KJI4:KJL4"/>
    <mergeCell ref="KJM4:KJP4"/>
    <mergeCell ref="KJQ4:KJT4"/>
    <mergeCell ref="KJU4:KJX4"/>
    <mergeCell ref="KJY4:KKB4"/>
    <mergeCell ref="KKC4:KKF4"/>
    <mergeCell ref="KIK4:KIN4"/>
    <mergeCell ref="KIO4:KIR4"/>
    <mergeCell ref="KIS4:KIV4"/>
    <mergeCell ref="KIW4:KIZ4"/>
    <mergeCell ref="KJA4:KJD4"/>
    <mergeCell ref="KJE4:KJH4"/>
    <mergeCell ref="KNA4:KND4"/>
    <mergeCell ref="KNE4:KNH4"/>
    <mergeCell ref="KNI4:KNL4"/>
    <mergeCell ref="KNM4:KNP4"/>
    <mergeCell ref="KNQ4:KNT4"/>
    <mergeCell ref="KNU4:KNX4"/>
    <mergeCell ref="KMC4:KMF4"/>
    <mergeCell ref="KMG4:KMJ4"/>
    <mergeCell ref="KMK4:KMN4"/>
    <mergeCell ref="KMO4:KMR4"/>
    <mergeCell ref="KMS4:KMV4"/>
    <mergeCell ref="KMW4:KMZ4"/>
    <mergeCell ref="KLE4:KLH4"/>
    <mergeCell ref="KLI4:KLL4"/>
    <mergeCell ref="KLM4:KLP4"/>
    <mergeCell ref="KLQ4:KLT4"/>
    <mergeCell ref="KLU4:KLX4"/>
    <mergeCell ref="KLY4:KMB4"/>
    <mergeCell ref="KPU4:KPX4"/>
    <mergeCell ref="KPY4:KQB4"/>
    <mergeCell ref="KQC4:KQF4"/>
    <mergeCell ref="KQG4:KQJ4"/>
    <mergeCell ref="KQK4:KQN4"/>
    <mergeCell ref="KQO4:KQR4"/>
    <mergeCell ref="KOW4:KOZ4"/>
    <mergeCell ref="KPA4:KPD4"/>
    <mergeCell ref="KPE4:KPH4"/>
    <mergeCell ref="KPI4:KPL4"/>
    <mergeCell ref="KPM4:KPP4"/>
    <mergeCell ref="KPQ4:KPT4"/>
    <mergeCell ref="KNY4:KOB4"/>
    <mergeCell ref="KOC4:KOF4"/>
    <mergeCell ref="KOG4:KOJ4"/>
    <mergeCell ref="KOK4:KON4"/>
    <mergeCell ref="KOO4:KOR4"/>
    <mergeCell ref="KOS4:KOV4"/>
    <mergeCell ref="KSO4:KSR4"/>
    <mergeCell ref="KSS4:KSV4"/>
    <mergeCell ref="KSW4:KSZ4"/>
    <mergeCell ref="KTA4:KTD4"/>
    <mergeCell ref="KTE4:KTH4"/>
    <mergeCell ref="KTI4:KTL4"/>
    <mergeCell ref="KRQ4:KRT4"/>
    <mergeCell ref="KRU4:KRX4"/>
    <mergeCell ref="KRY4:KSB4"/>
    <mergeCell ref="KSC4:KSF4"/>
    <mergeCell ref="KSG4:KSJ4"/>
    <mergeCell ref="KSK4:KSN4"/>
    <mergeCell ref="KQS4:KQV4"/>
    <mergeCell ref="KQW4:KQZ4"/>
    <mergeCell ref="KRA4:KRD4"/>
    <mergeCell ref="KRE4:KRH4"/>
    <mergeCell ref="KRI4:KRL4"/>
    <mergeCell ref="KRM4:KRP4"/>
    <mergeCell ref="KVI4:KVL4"/>
    <mergeCell ref="KVM4:KVP4"/>
    <mergeCell ref="KVQ4:KVT4"/>
    <mergeCell ref="KVU4:KVX4"/>
    <mergeCell ref="KVY4:KWB4"/>
    <mergeCell ref="KWC4:KWF4"/>
    <mergeCell ref="KUK4:KUN4"/>
    <mergeCell ref="KUO4:KUR4"/>
    <mergeCell ref="KUS4:KUV4"/>
    <mergeCell ref="KUW4:KUZ4"/>
    <mergeCell ref="KVA4:KVD4"/>
    <mergeCell ref="KVE4:KVH4"/>
    <mergeCell ref="KTM4:KTP4"/>
    <mergeCell ref="KTQ4:KTT4"/>
    <mergeCell ref="KTU4:KTX4"/>
    <mergeCell ref="KTY4:KUB4"/>
    <mergeCell ref="KUC4:KUF4"/>
    <mergeCell ref="KUG4:KUJ4"/>
    <mergeCell ref="KYC4:KYF4"/>
    <mergeCell ref="KYG4:KYJ4"/>
    <mergeCell ref="KYK4:KYN4"/>
    <mergeCell ref="KYO4:KYR4"/>
    <mergeCell ref="KYS4:KYV4"/>
    <mergeCell ref="KYW4:KYZ4"/>
    <mergeCell ref="KXE4:KXH4"/>
    <mergeCell ref="KXI4:KXL4"/>
    <mergeCell ref="KXM4:KXP4"/>
    <mergeCell ref="KXQ4:KXT4"/>
    <mergeCell ref="KXU4:KXX4"/>
    <mergeCell ref="KXY4:KYB4"/>
    <mergeCell ref="KWG4:KWJ4"/>
    <mergeCell ref="KWK4:KWN4"/>
    <mergeCell ref="KWO4:KWR4"/>
    <mergeCell ref="KWS4:KWV4"/>
    <mergeCell ref="KWW4:KWZ4"/>
    <mergeCell ref="KXA4:KXD4"/>
    <mergeCell ref="LAW4:LAZ4"/>
    <mergeCell ref="LBA4:LBD4"/>
    <mergeCell ref="LBE4:LBH4"/>
    <mergeCell ref="LBI4:LBL4"/>
    <mergeCell ref="LBM4:LBP4"/>
    <mergeCell ref="LBQ4:LBT4"/>
    <mergeCell ref="KZY4:LAB4"/>
    <mergeCell ref="LAC4:LAF4"/>
    <mergeCell ref="LAG4:LAJ4"/>
    <mergeCell ref="LAK4:LAN4"/>
    <mergeCell ref="LAO4:LAR4"/>
    <mergeCell ref="LAS4:LAV4"/>
    <mergeCell ref="KZA4:KZD4"/>
    <mergeCell ref="KZE4:KZH4"/>
    <mergeCell ref="KZI4:KZL4"/>
    <mergeCell ref="KZM4:KZP4"/>
    <mergeCell ref="KZQ4:KZT4"/>
    <mergeCell ref="KZU4:KZX4"/>
    <mergeCell ref="LDQ4:LDT4"/>
    <mergeCell ref="LDU4:LDX4"/>
    <mergeCell ref="LDY4:LEB4"/>
    <mergeCell ref="LEC4:LEF4"/>
    <mergeCell ref="LEG4:LEJ4"/>
    <mergeCell ref="LEK4:LEN4"/>
    <mergeCell ref="LCS4:LCV4"/>
    <mergeCell ref="LCW4:LCZ4"/>
    <mergeCell ref="LDA4:LDD4"/>
    <mergeCell ref="LDE4:LDH4"/>
    <mergeCell ref="LDI4:LDL4"/>
    <mergeCell ref="LDM4:LDP4"/>
    <mergeCell ref="LBU4:LBX4"/>
    <mergeCell ref="LBY4:LCB4"/>
    <mergeCell ref="LCC4:LCF4"/>
    <mergeCell ref="LCG4:LCJ4"/>
    <mergeCell ref="LCK4:LCN4"/>
    <mergeCell ref="LCO4:LCR4"/>
    <mergeCell ref="LGK4:LGN4"/>
    <mergeCell ref="LGO4:LGR4"/>
    <mergeCell ref="LGS4:LGV4"/>
    <mergeCell ref="LGW4:LGZ4"/>
    <mergeCell ref="LHA4:LHD4"/>
    <mergeCell ref="LHE4:LHH4"/>
    <mergeCell ref="LFM4:LFP4"/>
    <mergeCell ref="LFQ4:LFT4"/>
    <mergeCell ref="LFU4:LFX4"/>
    <mergeCell ref="LFY4:LGB4"/>
    <mergeCell ref="LGC4:LGF4"/>
    <mergeCell ref="LGG4:LGJ4"/>
    <mergeCell ref="LEO4:LER4"/>
    <mergeCell ref="LES4:LEV4"/>
    <mergeCell ref="LEW4:LEZ4"/>
    <mergeCell ref="LFA4:LFD4"/>
    <mergeCell ref="LFE4:LFH4"/>
    <mergeCell ref="LFI4:LFL4"/>
    <mergeCell ref="LJE4:LJH4"/>
    <mergeCell ref="LJI4:LJL4"/>
    <mergeCell ref="LJM4:LJP4"/>
    <mergeCell ref="LJQ4:LJT4"/>
    <mergeCell ref="LJU4:LJX4"/>
    <mergeCell ref="LJY4:LKB4"/>
    <mergeCell ref="LIG4:LIJ4"/>
    <mergeCell ref="LIK4:LIN4"/>
    <mergeCell ref="LIO4:LIR4"/>
    <mergeCell ref="LIS4:LIV4"/>
    <mergeCell ref="LIW4:LIZ4"/>
    <mergeCell ref="LJA4:LJD4"/>
    <mergeCell ref="LHI4:LHL4"/>
    <mergeCell ref="LHM4:LHP4"/>
    <mergeCell ref="LHQ4:LHT4"/>
    <mergeCell ref="LHU4:LHX4"/>
    <mergeCell ref="LHY4:LIB4"/>
    <mergeCell ref="LIC4:LIF4"/>
    <mergeCell ref="LLY4:LMB4"/>
    <mergeCell ref="LMC4:LMF4"/>
    <mergeCell ref="LMG4:LMJ4"/>
    <mergeCell ref="LMK4:LMN4"/>
    <mergeCell ref="LMO4:LMR4"/>
    <mergeCell ref="LMS4:LMV4"/>
    <mergeCell ref="LLA4:LLD4"/>
    <mergeCell ref="LLE4:LLH4"/>
    <mergeCell ref="LLI4:LLL4"/>
    <mergeCell ref="LLM4:LLP4"/>
    <mergeCell ref="LLQ4:LLT4"/>
    <mergeCell ref="LLU4:LLX4"/>
    <mergeCell ref="LKC4:LKF4"/>
    <mergeCell ref="LKG4:LKJ4"/>
    <mergeCell ref="LKK4:LKN4"/>
    <mergeCell ref="LKO4:LKR4"/>
    <mergeCell ref="LKS4:LKV4"/>
    <mergeCell ref="LKW4:LKZ4"/>
    <mergeCell ref="LOS4:LOV4"/>
    <mergeCell ref="LOW4:LOZ4"/>
    <mergeCell ref="LPA4:LPD4"/>
    <mergeCell ref="LPE4:LPH4"/>
    <mergeCell ref="LPI4:LPL4"/>
    <mergeCell ref="LPM4:LPP4"/>
    <mergeCell ref="LNU4:LNX4"/>
    <mergeCell ref="LNY4:LOB4"/>
    <mergeCell ref="LOC4:LOF4"/>
    <mergeCell ref="LOG4:LOJ4"/>
    <mergeCell ref="LOK4:LON4"/>
    <mergeCell ref="LOO4:LOR4"/>
    <mergeCell ref="LMW4:LMZ4"/>
    <mergeCell ref="LNA4:LND4"/>
    <mergeCell ref="LNE4:LNH4"/>
    <mergeCell ref="LNI4:LNL4"/>
    <mergeCell ref="LNM4:LNP4"/>
    <mergeCell ref="LNQ4:LNT4"/>
    <mergeCell ref="LRM4:LRP4"/>
    <mergeCell ref="LRQ4:LRT4"/>
    <mergeCell ref="LRU4:LRX4"/>
    <mergeCell ref="LRY4:LSB4"/>
    <mergeCell ref="LSC4:LSF4"/>
    <mergeCell ref="LSG4:LSJ4"/>
    <mergeCell ref="LQO4:LQR4"/>
    <mergeCell ref="LQS4:LQV4"/>
    <mergeCell ref="LQW4:LQZ4"/>
    <mergeCell ref="LRA4:LRD4"/>
    <mergeCell ref="LRE4:LRH4"/>
    <mergeCell ref="LRI4:LRL4"/>
    <mergeCell ref="LPQ4:LPT4"/>
    <mergeCell ref="LPU4:LPX4"/>
    <mergeCell ref="LPY4:LQB4"/>
    <mergeCell ref="LQC4:LQF4"/>
    <mergeCell ref="LQG4:LQJ4"/>
    <mergeCell ref="LQK4:LQN4"/>
    <mergeCell ref="LUG4:LUJ4"/>
    <mergeCell ref="LUK4:LUN4"/>
    <mergeCell ref="LUO4:LUR4"/>
    <mergeCell ref="LUS4:LUV4"/>
    <mergeCell ref="LUW4:LUZ4"/>
    <mergeCell ref="LVA4:LVD4"/>
    <mergeCell ref="LTI4:LTL4"/>
    <mergeCell ref="LTM4:LTP4"/>
    <mergeCell ref="LTQ4:LTT4"/>
    <mergeCell ref="LTU4:LTX4"/>
    <mergeCell ref="LTY4:LUB4"/>
    <mergeCell ref="LUC4:LUF4"/>
    <mergeCell ref="LSK4:LSN4"/>
    <mergeCell ref="LSO4:LSR4"/>
    <mergeCell ref="LSS4:LSV4"/>
    <mergeCell ref="LSW4:LSZ4"/>
    <mergeCell ref="LTA4:LTD4"/>
    <mergeCell ref="LTE4:LTH4"/>
    <mergeCell ref="LXA4:LXD4"/>
    <mergeCell ref="LXE4:LXH4"/>
    <mergeCell ref="LXI4:LXL4"/>
    <mergeCell ref="LXM4:LXP4"/>
    <mergeCell ref="LXQ4:LXT4"/>
    <mergeCell ref="LXU4:LXX4"/>
    <mergeCell ref="LWC4:LWF4"/>
    <mergeCell ref="LWG4:LWJ4"/>
    <mergeCell ref="LWK4:LWN4"/>
    <mergeCell ref="LWO4:LWR4"/>
    <mergeCell ref="LWS4:LWV4"/>
    <mergeCell ref="LWW4:LWZ4"/>
    <mergeCell ref="LVE4:LVH4"/>
    <mergeCell ref="LVI4:LVL4"/>
    <mergeCell ref="LVM4:LVP4"/>
    <mergeCell ref="LVQ4:LVT4"/>
    <mergeCell ref="LVU4:LVX4"/>
    <mergeCell ref="LVY4:LWB4"/>
    <mergeCell ref="LZU4:LZX4"/>
    <mergeCell ref="LZY4:MAB4"/>
    <mergeCell ref="MAC4:MAF4"/>
    <mergeCell ref="MAG4:MAJ4"/>
    <mergeCell ref="MAK4:MAN4"/>
    <mergeCell ref="MAO4:MAR4"/>
    <mergeCell ref="LYW4:LYZ4"/>
    <mergeCell ref="LZA4:LZD4"/>
    <mergeCell ref="LZE4:LZH4"/>
    <mergeCell ref="LZI4:LZL4"/>
    <mergeCell ref="LZM4:LZP4"/>
    <mergeCell ref="LZQ4:LZT4"/>
    <mergeCell ref="LXY4:LYB4"/>
    <mergeCell ref="LYC4:LYF4"/>
    <mergeCell ref="LYG4:LYJ4"/>
    <mergeCell ref="LYK4:LYN4"/>
    <mergeCell ref="LYO4:LYR4"/>
    <mergeCell ref="LYS4:LYV4"/>
    <mergeCell ref="MCO4:MCR4"/>
    <mergeCell ref="MCS4:MCV4"/>
    <mergeCell ref="MCW4:MCZ4"/>
    <mergeCell ref="MDA4:MDD4"/>
    <mergeCell ref="MDE4:MDH4"/>
    <mergeCell ref="MDI4:MDL4"/>
    <mergeCell ref="MBQ4:MBT4"/>
    <mergeCell ref="MBU4:MBX4"/>
    <mergeCell ref="MBY4:MCB4"/>
    <mergeCell ref="MCC4:MCF4"/>
    <mergeCell ref="MCG4:MCJ4"/>
    <mergeCell ref="MCK4:MCN4"/>
    <mergeCell ref="MAS4:MAV4"/>
    <mergeCell ref="MAW4:MAZ4"/>
    <mergeCell ref="MBA4:MBD4"/>
    <mergeCell ref="MBE4:MBH4"/>
    <mergeCell ref="MBI4:MBL4"/>
    <mergeCell ref="MBM4:MBP4"/>
    <mergeCell ref="MFI4:MFL4"/>
    <mergeCell ref="MFM4:MFP4"/>
    <mergeCell ref="MFQ4:MFT4"/>
    <mergeCell ref="MFU4:MFX4"/>
    <mergeCell ref="MFY4:MGB4"/>
    <mergeCell ref="MGC4:MGF4"/>
    <mergeCell ref="MEK4:MEN4"/>
    <mergeCell ref="MEO4:MER4"/>
    <mergeCell ref="MES4:MEV4"/>
    <mergeCell ref="MEW4:MEZ4"/>
    <mergeCell ref="MFA4:MFD4"/>
    <mergeCell ref="MFE4:MFH4"/>
    <mergeCell ref="MDM4:MDP4"/>
    <mergeCell ref="MDQ4:MDT4"/>
    <mergeCell ref="MDU4:MDX4"/>
    <mergeCell ref="MDY4:MEB4"/>
    <mergeCell ref="MEC4:MEF4"/>
    <mergeCell ref="MEG4:MEJ4"/>
    <mergeCell ref="MIC4:MIF4"/>
    <mergeCell ref="MIG4:MIJ4"/>
    <mergeCell ref="MIK4:MIN4"/>
    <mergeCell ref="MIO4:MIR4"/>
    <mergeCell ref="MIS4:MIV4"/>
    <mergeCell ref="MIW4:MIZ4"/>
    <mergeCell ref="MHE4:MHH4"/>
    <mergeCell ref="MHI4:MHL4"/>
    <mergeCell ref="MHM4:MHP4"/>
    <mergeCell ref="MHQ4:MHT4"/>
    <mergeCell ref="MHU4:MHX4"/>
    <mergeCell ref="MHY4:MIB4"/>
    <mergeCell ref="MGG4:MGJ4"/>
    <mergeCell ref="MGK4:MGN4"/>
    <mergeCell ref="MGO4:MGR4"/>
    <mergeCell ref="MGS4:MGV4"/>
    <mergeCell ref="MGW4:MGZ4"/>
    <mergeCell ref="MHA4:MHD4"/>
    <mergeCell ref="MKW4:MKZ4"/>
    <mergeCell ref="MLA4:MLD4"/>
    <mergeCell ref="MLE4:MLH4"/>
    <mergeCell ref="MLI4:MLL4"/>
    <mergeCell ref="MLM4:MLP4"/>
    <mergeCell ref="MLQ4:MLT4"/>
    <mergeCell ref="MJY4:MKB4"/>
    <mergeCell ref="MKC4:MKF4"/>
    <mergeCell ref="MKG4:MKJ4"/>
    <mergeCell ref="MKK4:MKN4"/>
    <mergeCell ref="MKO4:MKR4"/>
    <mergeCell ref="MKS4:MKV4"/>
    <mergeCell ref="MJA4:MJD4"/>
    <mergeCell ref="MJE4:MJH4"/>
    <mergeCell ref="MJI4:MJL4"/>
    <mergeCell ref="MJM4:MJP4"/>
    <mergeCell ref="MJQ4:MJT4"/>
    <mergeCell ref="MJU4:MJX4"/>
    <mergeCell ref="MNQ4:MNT4"/>
    <mergeCell ref="MNU4:MNX4"/>
    <mergeCell ref="MNY4:MOB4"/>
    <mergeCell ref="MOC4:MOF4"/>
    <mergeCell ref="MOG4:MOJ4"/>
    <mergeCell ref="MOK4:MON4"/>
    <mergeCell ref="MMS4:MMV4"/>
    <mergeCell ref="MMW4:MMZ4"/>
    <mergeCell ref="MNA4:MND4"/>
    <mergeCell ref="MNE4:MNH4"/>
    <mergeCell ref="MNI4:MNL4"/>
    <mergeCell ref="MNM4:MNP4"/>
    <mergeCell ref="MLU4:MLX4"/>
    <mergeCell ref="MLY4:MMB4"/>
    <mergeCell ref="MMC4:MMF4"/>
    <mergeCell ref="MMG4:MMJ4"/>
    <mergeCell ref="MMK4:MMN4"/>
    <mergeCell ref="MMO4:MMR4"/>
    <mergeCell ref="MQK4:MQN4"/>
    <mergeCell ref="MQO4:MQR4"/>
    <mergeCell ref="MQS4:MQV4"/>
    <mergeCell ref="MQW4:MQZ4"/>
    <mergeCell ref="MRA4:MRD4"/>
    <mergeCell ref="MRE4:MRH4"/>
    <mergeCell ref="MPM4:MPP4"/>
    <mergeCell ref="MPQ4:MPT4"/>
    <mergeCell ref="MPU4:MPX4"/>
    <mergeCell ref="MPY4:MQB4"/>
    <mergeCell ref="MQC4:MQF4"/>
    <mergeCell ref="MQG4:MQJ4"/>
    <mergeCell ref="MOO4:MOR4"/>
    <mergeCell ref="MOS4:MOV4"/>
    <mergeCell ref="MOW4:MOZ4"/>
    <mergeCell ref="MPA4:MPD4"/>
    <mergeCell ref="MPE4:MPH4"/>
    <mergeCell ref="MPI4:MPL4"/>
    <mergeCell ref="MTE4:MTH4"/>
    <mergeCell ref="MTI4:MTL4"/>
    <mergeCell ref="MTM4:MTP4"/>
    <mergeCell ref="MTQ4:MTT4"/>
    <mergeCell ref="MTU4:MTX4"/>
    <mergeCell ref="MTY4:MUB4"/>
    <mergeCell ref="MSG4:MSJ4"/>
    <mergeCell ref="MSK4:MSN4"/>
    <mergeCell ref="MSO4:MSR4"/>
    <mergeCell ref="MSS4:MSV4"/>
    <mergeCell ref="MSW4:MSZ4"/>
    <mergeCell ref="MTA4:MTD4"/>
    <mergeCell ref="MRI4:MRL4"/>
    <mergeCell ref="MRM4:MRP4"/>
    <mergeCell ref="MRQ4:MRT4"/>
    <mergeCell ref="MRU4:MRX4"/>
    <mergeCell ref="MRY4:MSB4"/>
    <mergeCell ref="MSC4:MSF4"/>
    <mergeCell ref="MVY4:MWB4"/>
    <mergeCell ref="MWC4:MWF4"/>
    <mergeCell ref="MWG4:MWJ4"/>
    <mergeCell ref="MWK4:MWN4"/>
    <mergeCell ref="MWO4:MWR4"/>
    <mergeCell ref="MWS4:MWV4"/>
    <mergeCell ref="MVA4:MVD4"/>
    <mergeCell ref="MVE4:MVH4"/>
    <mergeCell ref="MVI4:MVL4"/>
    <mergeCell ref="MVM4:MVP4"/>
    <mergeCell ref="MVQ4:MVT4"/>
    <mergeCell ref="MVU4:MVX4"/>
    <mergeCell ref="MUC4:MUF4"/>
    <mergeCell ref="MUG4:MUJ4"/>
    <mergeCell ref="MUK4:MUN4"/>
    <mergeCell ref="MUO4:MUR4"/>
    <mergeCell ref="MUS4:MUV4"/>
    <mergeCell ref="MUW4:MUZ4"/>
    <mergeCell ref="MYS4:MYV4"/>
    <mergeCell ref="MYW4:MYZ4"/>
    <mergeCell ref="MZA4:MZD4"/>
    <mergeCell ref="MZE4:MZH4"/>
    <mergeCell ref="MZI4:MZL4"/>
    <mergeCell ref="MZM4:MZP4"/>
    <mergeCell ref="MXU4:MXX4"/>
    <mergeCell ref="MXY4:MYB4"/>
    <mergeCell ref="MYC4:MYF4"/>
    <mergeCell ref="MYG4:MYJ4"/>
    <mergeCell ref="MYK4:MYN4"/>
    <mergeCell ref="MYO4:MYR4"/>
    <mergeCell ref="MWW4:MWZ4"/>
    <mergeCell ref="MXA4:MXD4"/>
    <mergeCell ref="MXE4:MXH4"/>
    <mergeCell ref="MXI4:MXL4"/>
    <mergeCell ref="MXM4:MXP4"/>
    <mergeCell ref="MXQ4:MXT4"/>
    <mergeCell ref="NBM4:NBP4"/>
    <mergeCell ref="NBQ4:NBT4"/>
    <mergeCell ref="NBU4:NBX4"/>
    <mergeCell ref="NBY4:NCB4"/>
    <mergeCell ref="NCC4:NCF4"/>
    <mergeCell ref="NCG4:NCJ4"/>
    <mergeCell ref="NAO4:NAR4"/>
    <mergeCell ref="NAS4:NAV4"/>
    <mergeCell ref="NAW4:NAZ4"/>
    <mergeCell ref="NBA4:NBD4"/>
    <mergeCell ref="NBE4:NBH4"/>
    <mergeCell ref="NBI4:NBL4"/>
    <mergeCell ref="MZQ4:MZT4"/>
    <mergeCell ref="MZU4:MZX4"/>
    <mergeCell ref="MZY4:NAB4"/>
    <mergeCell ref="NAC4:NAF4"/>
    <mergeCell ref="NAG4:NAJ4"/>
    <mergeCell ref="NAK4:NAN4"/>
    <mergeCell ref="NEG4:NEJ4"/>
    <mergeCell ref="NEK4:NEN4"/>
    <mergeCell ref="NEO4:NER4"/>
    <mergeCell ref="NES4:NEV4"/>
    <mergeCell ref="NEW4:NEZ4"/>
    <mergeCell ref="NFA4:NFD4"/>
    <mergeCell ref="NDI4:NDL4"/>
    <mergeCell ref="NDM4:NDP4"/>
    <mergeCell ref="NDQ4:NDT4"/>
    <mergeCell ref="NDU4:NDX4"/>
    <mergeCell ref="NDY4:NEB4"/>
    <mergeCell ref="NEC4:NEF4"/>
    <mergeCell ref="NCK4:NCN4"/>
    <mergeCell ref="NCO4:NCR4"/>
    <mergeCell ref="NCS4:NCV4"/>
    <mergeCell ref="NCW4:NCZ4"/>
    <mergeCell ref="NDA4:NDD4"/>
    <mergeCell ref="NDE4:NDH4"/>
    <mergeCell ref="NHA4:NHD4"/>
    <mergeCell ref="NHE4:NHH4"/>
    <mergeCell ref="NHI4:NHL4"/>
    <mergeCell ref="NHM4:NHP4"/>
    <mergeCell ref="NHQ4:NHT4"/>
    <mergeCell ref="NHU4:NHX4"/>
    <mergeCell ref="NGC4:NGF4"/>
    <mergeCell ref="NGG4:NGJ4"/>
    <mergeCell ref="NGK4:NGN4"/>
    <mergeCell ref="NGO4:NGR4"/>
    <mergeCell ref="NGS4:NGV4"/>
    <mergeCell ref="NGW4:NGZ4"/>
    <mergeCell ref="NFE4:NFH4"/>
    <mergeCell ref="NFI4:NFL4"/>
    <mergeCell ref="NFM4:NFP4"/>
    <mergeCell ref="NFQ4:NFT4"/>
    <mergeCell ref="NFU4:NFX4"/>
    <mergeCell ref="NFY4:NGB4"/>
    <mergeCell ref="NJU4:NJX4"/>
    <mergeCell ref="NJY4:NKB4"/>
    <mergeCell ref="NKC4:NKF4"/>
    <mergeCell ref="NKG4:NKJ4"/>
    <mergeCell ref="NKK4:NKN4"/>
    <mergeCell ref="NKO4:NKR4"/>
    <mergeCell ref="NIW4:NIZ4"/>
    <mergeCell ref="NJA4:NJD4"/>
    <mergeCell ref="NJE4:NJH4"/>
    <mergeCell ref="NJI4:NJL4"/>
    <mergeCell ref="NJM4:NJP4"/>
    <mergeCell ref="NJQ4:NJT4"/>
    <mergeCell ref="NHY4:NIB4"/>
    <mergeCell ref="NIC4:NIF4"/>
    <mergeCell ref="NIG4:NIJ4"/>
    <mergeCell ref="NIK4:NIN4"/>
    <mergeCell ref="NIO4:NIR4"/>
    <mergeCell ref="NIS4:NIV4"/>
    <mergeCell ref="NMO4:NMR4"/>
    <mergeCell ref="NMS4:NMV4"/>
    <mergeCell ref="NMW4:NMZ4"/>
    <mergeCell ref="NNA4:NND4"/>
    <mergeCell ref="NNE4:NNH4"/>
    <mergeCell ref="NNI4:NNL4"/>
    <mergeCell ref="NLQ4:NLT4"/>
    <mergeCell ref="NLU4:NLX4"/>
    <mergeCell ref="NLY4:NMB4"/>
    <mergeCell ref="NMC4:NMF4"/>
    <mergeCell ref="NMG4:NMJ4"/>
    <mergeCell ref="NMK4:NMN4"/>
    <mergeCell ref="NKS4:NKV4"/>
    <mergeCell ref="NKW4:NKZ4"/>
    <mergeCell ref="NLA4:NLD4"/>
    <mergeCell ref="NLE4:NLH4"/>
    <mergeCell ref="NLI4:NLL4"/>
    <mergeCell ref="NLM4:NLP4"/>
    <mergeCell ref="NPI4:NPL4"/>
    <mergeCell ref="NPM4:NPP4"/>
    <mergeCell ref="NPQ4:NPT4"/>
    <mergeCell ref="NPU4:NPX4"/>
    <mergeCell ref="NPY4:NQB4"/>
    <mergeCell ref="NQC4:NQF4"/>
    <mergeCell ref="NOK4:NON4"/>
    <mergeCell ref="NOO4:NOR4"/>
    <mergeCell ref="NOS4:NOV4"/>
    <mergeCell ref="NOW4:NOZ4"/>
    <mergeCell ref="NPA4:NPD4"/>
    <mergeCell ref="NPE4:NPH4"/>
    <mergeCell ref="NNM4:NNP4"/>
    <mergeCell ref="NNQ4:NNT4"/>
    <mergeCell ref="NNU4:NNX4"/>
    <mergeCell ref="NNY4:NOB4"/>
    <mergeCell ref="NOC4:NOF4"/>
    <mergeCell ref="NOG4:NOJ4"/>
    <mergeCell ref="NSC4:NSF4"/>
    <mergeCell ref="NSG4:NSJ4"/>
    <mergeCell ref="NSK4:NSN4"/>
    <mergeCell ref="NSO4:NSR4"/>
    <mergeCell ref="NSS4:NSV4"/>
    <mergeCell ref="NSW4:NSZ4"/>
    <mergeCell ref="NRE4:NRH4"/>
    <mergeCell ref="NRI4:NRL4"/>
    <mergeCell ref="NRM4:NRP4"/>
    <mergeCell ref="NRQ4:NRT4"/>
    <mergeCell ref="NRU4:NRX4"/>
    <mergeCell ref="NRY4:NSB4"/>
    <mergeCell ref="NQG4:NQJ4"/>
    <mergeCell ref="NQK4:NQN4"/>
    <mergeCell ref="NQO4:NQR4"/>
    <mergeCell ref="NQS4:NQV4"/>
    <mergeCell ref="NQW4:NQZ4"/>
    <mergeCell ref="NRA4:NRD4"/>
    <mergeCell ref="NUW4:NUZ4"/>
    <mergeCell ref="NVA4:NVD4"/>
    <mergeCell ref="NVE4:NVH4"/>
    <mergeCell ref="NVI4:NVL4"/>
    <mergeCell ref="NVM4:NVP4"/>
    <mergeCell ref="NVQ4:NVT4"/>
    <mergeCell ref="NTY4:NUB4"/>
    <mergeCell ref="NUC4:NUF4"/>
    <mergeCell ref="NUG4:NUJ4"/>
    <mergeCell ref="NUK4:NUN4"/>
    <mergeCell ref="NUO4:NUR4"/>
    <mergeCell ref="NUS4:NUV4"/>
    <mergeCell ref="NTA4:NTD4"/>
    <mergeCell ref="NTE4:NTH4"/>
    <mergeCell ref="NTI4:NTL4"/>
    <mergeCell ref="NTM4:NTP4"/>
    <mergeCell ref="NTQ4:NTT4"/>
    <mergeCell ref="NTU4:NTX4"/>
    <mergeCell ref="NXQ4:NXT4"/>
    <mergeCell ref="NXU4:NXX4"/>
    <mergeCell ref="NXY4:NYB4"/>
    <mergeCell ref="NYC4:NYF4"/>
    <mergeCell ref="NYG4:NYJ4"/>
    <mergeCell ref="NYK4:NYN4"/>
    <mergeCell ref="NWS4:NWV4"/>
    <mergeCell ref="NWW4:NWZ4"/>
    <mergeCell ref="NXA4:NXD4"/>
    <mergeCell ref="NXE4:NXH4"/>
    <mergeCell ref="NXI4:NXL4"/>
    <mergeCell ref="NXM4:NXP4"/>
    <mergeCell ref="NVU4:NVX4"/>
    <mergeCell ref="NVY4:NWB4"/>
    <mergeCell ref="NWC4:NWF4"/>
    <mergeCell ref="NWG4:NWJ4"/>
    <mergeCell ref="NWK4:NWN4"/>
    <mergeCell ref="NWO4:NWR4"/>
    <mergeCell ref="OAK4:OAN4"/>
    <mergeCell ref="OAO4:OAR4"/>
    <mergeCell ref="OAS4:OAV4"/>
    <mergeCell ref="OAW4:OAZ4"/>
    <mergeCell ref="OBA4:OBD4"/>
    <mergeCell ref="OBE4:OBH4"/>
    <mergeCell ref="NZM4:NZP4"/>
    <mergeCell ref="NZQ4:NZT4"/>
    <mergeCell ref="NZU4:NZX4"/>
    <mergeCell ref="NZY4:OAB4"/>
    <mergeCell ref="OAC4:OAF4"/>
    <mergeCell ref="OAG4:OAJ4"/>
    <mergeCell ref="NYO4:NYR4"/>
    <mergeCell ref="NYS4:NYV4"/>
    <mergeCell ref="NYW4:NYZ4"/>
    <mergeCell ref="NZA4:NZD4"/>
    <mergeCell ref="NZE4:NZH4"/>
    <mergeCell ref="NZI4:NZL4"/>
    <mergeCell ref="ODE4:ODH4"/>
    <mergeCell ref="ODI4:ODL4"/>
    <mergeCell ref="ODM4:ODP4"/>
    <mergeCell ref="ODQ4:ODT4"/>
    <mergeCell ref="ODU4:ODX4"/>
    <mergeCell ref="ODY4:OEB4"/>
    <mergeCell ref="OCG4:OCJ4"/>
    <mergeCell ref="OCK4:OCN4"/>
    <mergeCell ref="OCO4:OCR4"/>
    <mergeCell ref="OCS4:OCV4"/>
    <mergeCell ref="OCW4:OCZ4"/>
    <mergeCell ref="ODA4:ODD4"/>
    <mergeCell ref="OBI4:OBL4"/>
    <mergeCell ref="OBM4:OBP4"/>
    <mergeCell ref="OBQ4:OBT4"/>
    <mergeCell ref="OBU4:OBX4"/>
    <mergeCell ref="OBY4:OCB4"/>
    <mergeCell ref="OCC4:OCF4"/>
    <mergeCell ref="OFY4:OGB4"/>
    <mergeCell ref="OGC4:OGF4"/>
    <mergeCell ref="OGG4:OGJ4"/>
    <mergeCell ref="OGK4:OGN4"/>
    <mergeCell ref="OGO4:OGR4"/>
    <mergeCell ref="OGS4:OGV4"/>
    <mergeCell ref="OFA4:OFD4"/>
    <mergeCell ref="OFE4:OFH4"/>
    <mergeCell ref="OFI4:OFL4"/>
    <mergeCell ref="OFM4:OFP4"/>
    <mergeCell ref="OFQ4:OFT4"/>
    <mergeCell ref="OFU4:OFX4"/>
    <mergeCell ref="OEC4:OEF4"/>
    <mergeCell ref="OEG4:OEJ4"/>
    <mergeCell ref="OEK4:OEN4"/>
    <mergeCell ref="OEO4:OER4"/>
    <mergeCell ref="OES4:OEV4"/>
    <mergeCell ref="OEW4:OEZ4"/>
    <mergeCell ref="OIS4:OIV4"/>
    <mergeCell ref="OIW4:OIZ4"/>
    <mergeCell ref="OJA4:OJD4"/>
    <mergeCell ref="OJE4:OJH4"/>
    <mergeCell ref="OJI4:OJL4"/>
    <mergeCell ref="OJM4:OJP4"/>
    <mergeCell ref="OHU4:OHX4"/>
    <mergeCell ref="OHY4:OIB4"/>
    <mergeCell ref="OIC4:OIF4"/>
    <mergeCell ref="OIG4:OIJ4"/>
    <mergeCell ref="OIK4:OIN4"/>
    <mergeCell ref="OIO4:OIR4"/>
    <mergeCell ref="OGW4:OGZ4"/>
    <mergeCell ref="OHA4:OHD4"/>
    <mergeCell ref="OHE4:OHH4"/>
    <mergeCell ref="OHI4:OHL4"/>
    <mergeCell ref="OHM4:OHP4"/>
    <mergeCell ref="OHQ4:OHT4"/>
    <mergeCell ref="OLM4:OLP4"/>
    <mergeCell ref="OLQ4:OLT4"/>
    <mergeCell ref="OLU4:OLX4"/>
    <mergeCell ref="OLY4:OMB4"/>
    <mergeCell ref="OMC4:OMF4"/>
    <mergeCell ref="OMG4:OMJ4"/>
    <mergeCell ref="OKO4:OKR4"/>
    <mergeCell ref="OKS4:OKV4"/>
    <mergeCell ref="OKW4:OKZ4"/>
    <mergeCell ref="OLA4:OLD4"/>
    <mergeCell ref="OLE4:OLH4"/>
    <mergeCell ref="OLI4:OLL4"/>
    <mergeCell ref="OJQ4:OJT4"/>
    <mergeCell ref="OJU4:OJX4"/>
    <mergeCell ref="OJY4:OKB4"/>
    <mergeCell ref="OKC4:OKF4"/>
    <mergeCell ref="OKG4:OKJ4"/>
    <mergeCell ref="OKK4:OKN4"/>
    <mergeCell ref="OOG4:OOJ4"/>
    <mergeCell ref="OOK4:OON4"/>
    <mergeCell ref="OOO4:OOR4"/>
    <mergeCell ref="OOS4:OOV4"/>
    <mergeCell ref="OOW4:OOZ4"/>
    <mergeCell ref="OPA4:OPD4"/>
    <mergeCell ref="ONI4:ONL4"/>
    <mergeCell ref="ONM4:ONP4"/>
    <mergeCell ref="ONQ4:ONT4"/>
    <mergeCell ref="ONU4:ONX4"/>
    <mergeCell ref="ONY4:OOB4"/>
    <mergeCell ref="OOC4:OOF4"/>
    <mergeCell ref="OMK4:OMN4"/>
    <mergeCell ref="OMO4:OMR4"/>
    <mergeCell ref="OMS4:OMV4"/>
    <mergeCell ref="OMW4:OMZ4"/>
    <mergeCell ref="ONA4:OND4"/>
    <mergeCell ref="ONE4:ONH4"/>
    <mergeCell ref="ORA4:ORD4"/>
    <mergeCell ref="ORE4:ORH4"/>
    <mergeCell ref="ORI4:ORL4"/>
    <mergeCell ref="ORM4:ORP4"/>
    <mergeCell ref="ORQ4:ORT4"/>
    <mergeCell ref="ORU4:ORX4"/>
    <mergeCell ref="OQC4:OQF4"/>
    <mergeCell ref="OQG4:OQJ4"/>
    <mergeCell ref="OQK4:OQN4"/>
    <mergeCell ref="OQO4:OQR4"/>
    <mergeCell ref="OQS4:OQV4"/>
    <mergeCell ref="OQW4:OQZ4"/>
    <mergeCell ref="OPE4:OPH4"/>
    <mergeCell ref="OPI4:OPL4"/>
    <mergeCell ref="OPM4:OPP4"/>
    <mergeCell ref="OPQ4:OPT4"/>
    <mergeCell ref="OPU4:OPX4"/>
    <mergeCell ref="OPY4:OQB4"/>
    <mergeCell ref="OTU4:OTX4"/>
    <mergeCell ref="OTY4:OUB4"/>
    <mergeCell ref="OUC4:OUF4"/>
    <mergeCell ref="OUG4:OUJ4"/>
    <mergeCell ref="OUK4:OUN4"/>
    <mergeCell ref="OUO4:OUR4"/>
    <mergeCell ref="OSW4:OSZ4"/>
    <mergeCell ref="OTA4:OTD4"/>
    <mergeCell ref="OTE4:OTH4"/>
    <mergeCell ref="OTI4:OTL4"/>
    <mergeCell ref="OTM4:OTP4"/>
    <mergeCell ref="OTQ4:OTT4"/>
    <mergeCell ref="ORY4:OSB4"/>
    <mergeCell ref="OSC4:OSF4"/>
    <mergeCell ref="OSG4:OSJ4"/>
    <mergeCell ref="OSK4:OSN4"/>
    <mergeCell ref="OSO4:OSR4"/>
    <mergeCell ref="OSS4:OSV4"/>
    <mergeCell ref="OWO4:OWR4"/>
    <mergeCell ref="OWS4:OWV4"/>
    <mergeCell ref="OWW4:OWZ4"/>
    <mergeCell ref="OXA4:OXD4"/>
    <mergeCell ref="OXE4:OXH4"/>
    <mergeCell ref="OXI4:OXL4"/>
    <mergeCell ref="OVQ4:OVT4"/>
    <mergeCell ref="OVU4:OVX4"/>
    <mergeCell ref="OVY4:OWB4"/>
    <mergeCell ref="OWC4:OWF4"/>
    <mergeCell ref="OWG4:OWJ4"/>
    <mergeCell ref="OWK4:OWN4"/>
    <mergeCell ref="OUS4:OUV4"/>
    <mergeCell ref="OUW4:OUZ4"/>
    <mergeCell ref="OVA4:OVD4"/>
    <mergeCell ref="OVE4:OVH4"/>
    <mergeCell ref="OVI4:OVL4"/>
    <mergeCell ref="OVM4:OVP4"/>
    <mergeCell ref="OZI4:OZL4"/>
    <mergeCell ref="OZM4:OZP4"/>
    <mergeCell ref="OZQ4:OZT4"/>
    <mergeCell ref="OZU4:OZX4"/>
    <mergeCell ref="OZY4:PAB4"/>
    <mergeCell ref="PAC4:PAF4"/>
    <mergeCell ref="OYK4:OYN4"/>
    <mergeCell ref="OYO4:OYR4"/>
    <mergeCell ref="OYS4:OYV4"/>
    <mergeCell ref="OYW4:OYZ4"/>
    <mergeCell ref="OZA4:OZD4"/>
    <mergeCell ref="OZE4:OZH4"/>
    <mergeCell ref="OXM4:OXP4"/>
    <mergeCell ref="OXQ4:OXT4"/>
    <mergeCell ref="OXU4:OXX4"/>
    <mergeCell ref="OXY4:OYB4"/>
    <mergeCell ref="OYC4:OYF4"/>
    <mergeCell ref="OYG4:OYJ4"/>
    <mergeCell ref="PCC4:PCF4"/>
    <mergeCell ref="PCG4:PCJ4"/>
    <mergeCell ref="PCK4:PCN4"/>
    <mergeCell ref="PCO4:PCR4"/>
    <mergeCell ref="PCS4:PCV4"/>
    <mergeCell ref="PCW4:PCZ4"/>
    <mergeCell ref="PBE4:PBH4"/>
    <mergeCell ref="PBI4:PBL4"/>
    <mergeCell ref="PBM4:PBP4"/>
    <mergeCell ref="PBQ4:PBT4"/>
    <mergeCell ref="PBU4:PBX4"/>
    <mergeCell ref="PBY4:PCB4"/>
    <mergeCell ref="PAG4:PAJ4"/>
    <mergeCell ref="PAK4:PAN4"/>
    <mergeCell ref="PAO4:PAR4"/>
    <mergeCell ref="PAS4:PAV4"/>
    <mergeCell ref="PAW4:PAZ4"/>
    <mergeCell ref="PBA4:PBD4"/>
    <mergeCell ref="PEW4:PEZ4"/>
    <mergeCell ref="PFA4:PFD4"/>
    <mergeCell ref="PFE4:PFH4"/>
    <mergeCell ref="PFI4:PFL4"/>
    <mergeCell ref="PFM4:PFP4"/>
    <mergeCell ref="PFQ4:PFT4"/>
    <mergeCell ref="PDY4:PEB4"/>
    <mergeCell ref="PEC4:PEF4"/>
    <mergeCell ref="PEG4:PEJ4"/>
    <mergeCell ref="PEK4:PEN4"/>
    <mergeCell ref="PEO4:PER4"/>
    <mergeCell ref="PES4:PEV4"/>
    <mergeCell ref="PDA4:PDD4"/>
    <mergeCell ref="PDE4:PDH4"/>
    <mergeCell ref="PDI4:PDL4"/>
    <mergeCell ref="PDM4:PDP4"/>
    <mergeCell ref="PDQ4:PDT4"/>
    <mergeCell ref="PDU4:PDX4"/>
    <mergeCell ref="PHQ4:PHT4"/>
    <mergeCell ref="PHU4:PHX4"/>
    <mergeCell ref="PHY4:PIB4"/>
    <mergeCell ref="PIC4:PIF4"/>
    <mergeCell ref="PIG4:PIJ4"/>
    <mergeCell ref="PIK4:PIN4"/>
    <mergeCell ref="PGS4:PGV4"/>
    <mergeCell ref="PGW4:PGZ4"/>
    <mergeCell ref="PHA4:PHD4"/>
    <mergeCell ref="PHE4:PHH4"/>
    <mergeCell ref="PHI4:PHL4"/>
    <mergeCell ref="PHM4:PHP4"/>
    <mergeCell ref="PFU4:PFX4"/>
    <mergeCell ref="PFY4:PGB4"/>
    <mergeCell ref="PGC4:PGF4"/>
    <mergeCell ref="PGG4:PGJ4"/>
    <mergeCell ref="PGK4:PGN4"/>
    <mergeCell ref="PGO4:PGR4"/>
    <mergeCell ref="PKK4:PKN4"/>
    <mergeCell ref="PKO4:PKR4"/>
    <mergeCell ref="PKS4:PKV4"/>
    <mergeCell ref="PKW4:PKZ4"/>
    <mergeCell ref="PLA4:PLD4"/>
    <mergeCell ref="PLE4:PLH4"/>
    <mergeCell ref="PJM4:PJP4"/>
    <mergeCell ref="PJQ4:PJT4"/>
    <mergeCell ref="PJU4:PJX4"/>
    <mergeCell ref="PJY4:PKB4"/>
    <mergeCell ref="PKC4:PKF4"/>
    <mergeCell ref="PKG4:PKJ4"/>
    <mergeCell ref="PIO4:PIR4"/>
    <mergeCell ref="PIS4:PIV4"/>
    <mergeCell ref="PIW4:PIZ4"/>
    <mergeCell ref="PJA4:PJD4"/>
    <mergeCell ref="PJE4:PJH4"/>
    <mergeCell ref="PJI4:PJL4"/>
    <mergeCell ref="PNE4:PNH4"/>
    <mergeCell ref="PNI4:PNL4"/>
    <mergeCell ref="PNM4:PNP4"/>
    <mergeCell ref="PNQ4:PNT4"/>
    <mergeCell ref="PNU4:PNX4"/>
    <mergeCell ref="PNY4:POB4"/>
    <mergeCell ref="PMG4:PMJ4"/>
    <mergeCell ref="PMK4:PMN4"/>
    <mergeCell ref="PMO4:PMR4"/>
    <mergeCell ref="PMS4:PMV4"/>
    <mergeCell ref="PMW4:PMZ4"/>
    <mergeCell ref="PNA4:PND4"/>
    <mergeCell ref="PLI4:PLL4"/>
    <mergeCell ref="PLM4:PLP4"/>
    <mergeCell ref="PLQ4:PLT4"/>
    <mergeCell ref="PLU4:PLX4"/>
    <mergeCell ref="PLY4:PMB4"/>
    <mergeCell ref="PMC4:PMF4"/>
    <mergeCell ref="PPY4:PQB4"/>
    <mergeCell ref="PQC4:PQF4"/>
    <mergeCell ref="PQG4:PQJ4"/>
    <mergeCell ref="PQK4:PQN4"/>
    <mergeCell ref="PQO4:PQR4"/>
    <mergeCell ref="PQS4:PQV4"/>
    <mergeCell ref="PPA4:PPD4"/>
    <mergeCell ref="PPE4:PPH4"/>
    <mergeCell ref="PPI4:PPL4"/>
    <mergeCell ref="PPM4:PPP4"/>
    <mergeCell ref="PPQ4:PPT4"/>
    <mergeCell ref="PPU4:PPX4"/>
    <mergeCell ref="POC4:POF4"/>
    <mergeCell ref="POG4:POJ4"/>
    <mergeCell ref="POK4:PON4"/>
    <mergeCell ref="POO4:POR4"/>
    <mergeCell ref="POS4:POV4"/>
    <mergeCell ref="POW4:POZ4"/>
    <mergeCell ref="PSS4:PSV4"/>
    <mergeCell ref="PSW4:PSZ4"/>
    <mergeCell ref="PTA4:PTD4"/>
    <mergeCell ref="PTE4:PTH4"/>
    <mergeCell ref="PTI4:PTL4"/>
    <mergeCell ref="PTM4:PTP4"/>
    <mergeCell ref="PRU4:PRX4"/>
    <mergeCell ref="PRY4:PSB4"/>
    <mergeCell ref="PSC4:PSF4"/>
    <mergeCell ref="PSG4:PSJ4"/>
    <mergeCell ref="PSK4:PSN4"/>
    <mergeCell ref="PSO4:PSR4"/>
    <mergeCell ref="PQW4:PQZ4"/>
    <mergeCell ref="PRA4:PRD4"/>
    <mergeCell ref="PRE4:PRH4"/>
    <mergeCell ref="PRI4:PRL4"/>
    <mergeCell ref="PRM4:PRP4"/>
    <mergeCell ref="PRQ4:PRT4"/>
    <mergeCell ref="PVM4:PVP4"/>
    <mergeCell ref="PVQ4:PVT4"/>
    <mergeCell ref="PVU4:PVX4"/>
    <mergeCell ref="PVY4:PWB4"/>
    <mergeCell ref="PWC4:PWF4"/>
    <mergeCell ref="PWG4:PWJ4"/>
    <mergeCell ref="PUO4:PUR4"/>
    <mergeCell ref="PUS4:PUV4"/>
    <mergeCell ref="PUW4:PUZ4"/>
    <mergeCell ref="PVA4:PVD4"/>
    <mergeCell ref="PVE4:PVH4"/>
    <mergeCell ref="PVI4:PVL4"/>
    <mergeCell ref="PTQ4:PTT4"/>
    <mergeCell ref="PTU4:PTX4"/>
    <mergeCell ref="PTY4:PUB4"/>
    <mergeCell ref="PUC4:PUF4"/>
    <mergeCell ref="PUG4:PUJ4"/>
    <mergeCell ref="PUK4:PUN4"/>
    <mergeCell ref="PYG4:PYJ4"/>
    <mergeCell ref="PYK4:PYN4"/>
    <mergeCell ref="PYO4:PYR4"/>
    <mergeCell ref="PYS4:PYV4"/>
    <mergeCell ref="PYW4:PYZ4"/>
    <mergeCell ref="PZA4:PZD4"/>
    <mergeCell ref="PXI4:PXL4"/>
    <mergeCell ref="PXM4:PXP4"/>
    <mergeCell ref="PXQ4:PXT4"/>
    <mergeCell ref="PXU4:PXX4"/>
    <mergeCell ref="PXY4:PYB4"/>
    <mergeCell ref="PYC4:PYF4"/>
    <mergeCell ref="PWK4:PWN4"/>
    <mergeCell ref="PWO4:PWR4"/>
    <mergeCell ref="PWS4:PWV4"/>
    <mergeCell ref="PWW4:PWZ4"/>
    <mergeCell ref="PXA4:PXD4"/>
    <mergeCell ref="PXE4:PXH4"/>
    <mergeCell ref="QBA4:QBD4"/>
    <mergeCell ref="QBE4:QBH4"/>
    <mergeCell ref="QBI4:QBL4"/>
    <mergeCell ref="QBM4:QBP4"/>
    <mergeCell ref="QBQ4:QBT4"/>
    <mergeCell ref="QBU4:QBX4"/>
    <mergeCell ref="QAC4:QAF4"/>
    <mergeCell ref="QAG4:QAJ4"/>
    <mergeCell ref="QAK4:QAN4"/>
    <mergeCell ref="QAO4:QAR4"/>
    <mergeCell ref="QAS4:QAV4"/>
    <mergeCell ref="QAW4:QAZ4"/>
    <mergeCell ref="PZE4:PZH4"/>
    <mergeCell ref="PZI4:PZL4"/>
    <mergeCell ref="PZM4:PZP4"/>
    <mergeCell ref="PZQ4:PZT4"/>
    <mergeCell ref="PZU4:PZX4"/>
    <mergeCell ref="PZY4:QAB4"/>
    <mergeCell ref="QDU4:QDX4"/>
    <mergeCell ref="QDY4:QEB4"/>
    <mergeCell ref="QEC4:QEF4"/>
    <mergeCell ref="QEG4:QEJ4"/>
    <mergeCell ref="QEK4:QEN4"/>
    <mergeCell ref="QEO4:QER4"/>
    <mergeCell ref="QCW4:QCZ4"/>
    <mergeCell ref="QDA4:QDD4"/>
    <mergeCell ref="QDE4:QDH4"/>
    <mergeCell ref="QDI4:QDL4"/>
    <mergeCell ref="QDM4:QDP4"/>
    <mergeCell ref="QDQ4:QDT4"/>
    <mergeCell ref="QBY4:QCB4"/>
    <mergeCell ref="QCC4:QCF4"/>
    <mergeCell ref="QCG4:QCJ4"/>
    <mergeCell ref="QCK4:QCN4"/>
    <mergeCell ref="QCO4:QCR4"/>
    <mergeCell ref="QCS4:QCV4"/>
    <mergeCell ref="QGO4:QGR4"/>
    <mergeCell ref="QGS4:QGV4"/>
    <mergeCell ref="QGW4:QGZ4"/>
    <mergeCell ref="QHA4:QHD4"/>
    <mergeCell ref="QHE4:QHH4"/>
    <mergeCell ref="QHI4:QHL4"/>
    <mergeCell ref="QFQ4:QFT4"/>
    <mergeCell ref="QFU4:QFX4"/>
    <mergeCell ref="QFY4:QGB4"/>
    <mergeCell ref="QGC4:QGF4"/>
    <mergeCell ref="QGG4:QGJ4"/>
    <mergeCell ref="QGK4:QGN4"/>
    <mergeCell ref="QES4:QEV4"/>
    <mergeCell ref="QEW4:QEZ4"/>
    <mergeCell ref="QFA4:QFD4"/>
    <mergeCell ref="QFE4:QFH4"/>
    <mergeCell ref="QFI4:QFL4"/>
    <mergeCell ref="QFM4:QFP4"/>
    <mergeCell ref="QJI4:QJL4"/>
    <mergeCell ref="QJM4:QJP4"/>
    <mergeCell ref="QJQ4:QJT4"/>
    <mergeCell ref="QJU4:QJX4"/>
    <mergeCell ref="QJY4:QKB4"/>
    <mergeCell ref="QKC4:QKF4"/>
    <mergeCell ref="QIK4:QIN4"/>
    <mergeCell ref="QIO4:QIR4"/>
    <mergeCell ref="QIS4:QIV4"/>
    <mergeCell ref="QIW4:QIZ4"/>
    <mergeCell ref="QJA4:QJD4"/>
    <mergeCell ref="QJE4:QJH4"/>
    <mergeCell ref="QHM4:QHP4"/>
    <mergeCell ref="QHQ4:QHT4"/>
    <mergeCell ref="QHU4:QHX4"/>
    <mergeCell ref="QHY4:QIB4"/>
    <mergeCell ref="QIC4:QIF4"/>
    <mergeCell ref="QIG4:QIJ4"/>
    <mergeCell ref="QMC4:QMF4"/>
    <mergeCell ref="QMG4:QMJ4"/>
    <mergeCell ref="QMK4:QMN4"/>
    <mergeCell ref="QMO4:QMR4"/>
    <mergeCell ref="QMS4:QMV4"/>
    <mergeCell ref="QMW4:QMZ4"/>
    <mergeCell ref="QLE4:QLH4"/>
    <mergeCell ref="QLI4:QLL4"/>
    <mergeCell ref="QLM4:QLP4"/>
    <mergeCell ref="QLQ4:QLT4"/>
    <mergeCell ref="QLU4:QLX4"/>
    <mergeCell ref="QLY4:QMB4"/>
    <mergeCell ref="QKG4:QKJ4"/>
    <mergeCell ref="QKK4:QKN4"/>
    <mergeCell ref="QKO4:QKR4"/>
    <mergeCell ref="QKS4:QKV4"/>
    <mergeCell ref="QKW4:QKZ4"/>
    <mergeCell ref="QLA4:QLD4"/>
    <mergeCell ref="QOW4:QOZ4"/>
    <mergeCell ref="QPA4:QPD4"/>
    <mergeCell ref="QPE4:QPH4"/>
    <mergeCell ref="QPI4:QPL4"/>
    <mergeCell ref="QPM4:QPP4"/>
    <mergeCell ref="QPQ4:QPT4"/>
    <mergeCell ref="QNY4:QOB4"/>
    <mergeCell ref="QOC4:QOF4"/>
    <mergeCell ref="QOG4:QOJ4"/>
    <mergeCell ref="QOK4:QON4"/>
    <mergeCell ref="QOO4:QOR4"/>
    <mergeCell ref="QOS4:QOV4"/>
    <mergeCell ref="QNA4:QND4"/>
    <mergeCell ref="QNE4:QNH4"/>
    <mergeCell ref="QNI4:QNL4"/>
    <mergeCell ref="QNM4:QNP4"/>
    <mergeCell ref="QNQ4:QNT4"/>
    <mergeCell ref="QNU4:QNX4"/>
    <mergeCell ref="QRQ4:QRT4"/>
    <mergeCell ref="QRU4:QRX4"/>
    <mergeCell ref="QRY4:QSB4"/>
    <mergeCell ref="QSC4:QSF4"/>
    <mergeCell ref="QSG4:QSJ4"/>
    <mergeCell ref="QSK4:QSN4"/>
    <mergeCell ref="QQS4:QQV4"/>
    <mergeCell ref="QQW4:QQZ4"/>
    <mergeCell ref="QRA4:QRD4"/>
    <mergeCell ref="QRE4:QRH4"/>
    <mergeCell ref="QRI4:QRL4"/>
    <mergeCell ref="QRM4:QRP4"/>
    <mergeCell ref="QPU4:QPX4"/>
    <mergeCell ref="QPY4:QQB4"/>
    <mergeCell ref="QQC4:QQF4"/>
    <mergeCell ref="QQG4:QQJ4"/>
    <mergeCell ref="QQK4:QQN4"/>
    <mergeCell ref="QQO4:QQR4"/>
    <mergeCell ref="QUK4:QUN4"/>
    <mergeCell ref="QUO4:QUR4"/>
    <mergeCell ref="QUS4:QUV4"/>
    <mergeCell ref="QUW4:QUZ4"/>
    <mergeCell ref="QVA4:QVD4"/>
    <mergeCell ref="QVE4:QVH4"/>
    <mergeCell ref="QTM4:QTP4"/>
    <mergeCell ref="QTQ4:QTT4"/>
    <mergeCell ref="QTU4:QTX4"/>
    <mergeCell ref="QTY4:QUB4"/>
    <mergeCell ref="QUC4:QUF4"/>
    <mergeCell ref="QUG4:QUJ4"/>
    <mergeCell ref="QSO4:QSR4"/>
    <mergeCell ref="QSS4:QSV4"/>
    <mergeCell ref="QSW4:QSZ4"/>
    <mergeCell ref="QTA4:QTD4"/>
    <mergeCell ref="QTE4:QTH4"/>
    <mergeCell ref="QTI4:QTL4"/>
    <mergeCell ref="QXE4:QXH4"/>
    <mergeCell ref="QXI4:QXL4"/>
    <mergeCell ref="QXM4:QXP4"/>
    <mergeCell ref="QXQ4:QXT4"/>
    <mergeCell ref="QXU4:QXX4"/>
    <mergeCell ref="QXY4:QYB4"/>
    <mergeCell ref="QWG4:QWJ4"/>
    <mergeCell ref="QWK4:QWN4"/>
    <mergeCell ref="QWO4:QWR4"/>
    <mergeCell ref="QWS4:QWV4"/>
    <mergeCell ref="QWW4:QWZ4"/>
    <mergeCell ref="QXA4:QXD4"/>
    <mergeCell ref="QVI4:QVL4"/>
    <mergeCell ref="QVM4:QVP4"/>
    <mergeCell ref="QVQ4:QVT4"/>
    <mergeCell ref="QVU4:QVX4"/>
    <mergeCell ref="QVY4:QWB4"/>
    <mergeCell ref="QWC4:QWF4"/>
    <mergeCell ref="QZY4:RAB4"/>
    <mergeCell ref="RAC4:RAF4"/>
    <mergeCell ref="RAG4:RAJ4"/>
    <mergeCell ref="RAK4:RAN4"/>
    <mergeCell ref="RAO4:RAR4"/>
    <mergeCell ref="RAS4:RAV4"/>
    <mergeCell ref="QZA4:QZD4"/>
    <mergeCell ref="QZE4:QZH4"/>
    <mergeCell ref="QZI4:QZL4"/>
    <mergeCell ref="QZM4:QZP4"/>
    <mergeCell ref="QZQ4:QZT4"/>
    <mergeCell ref="QZU4:QZX4"/>
    <mergeCell ref="QYC4:QYF4"/>
    <mergeCell ref="QYG4:QYJ4"/>
    <mergeCell ref="QYK4:QYN4"/>
    <mergeCell ref="QYO4:QYR4"/>
    <mergeCell ref="QYS4:QYV4"/>
    <mergeCell ref="QYW4:QYZ4"/>
    <mergeCell ref="RCS4:RCV4"/>
    <mergeCell ref="RCW4:RCZ4"/>
    <mergeCell ref="RDA4:RDD4"/>
    <mergeCell ref="RDE4:RDH4"/>
    <mergeCell ref="RDI4:RDL4"/>
    <mergeCell ref="RDM4:RDP4"/>
    <mergeCell ref="RBU4:RBX4"/>
    <mergeCell ref="RBY4:RCB4"/>
    <mergeCell ref="RCC4:RCF4"/>
    <mergeCell ref="RCG4:RCJ4"/>
    <mergeCell ref="RCK4:RCN4"/>
    <mergeCell ref="RCO4:RCR4"/>
    <mergeCell ref="RAW4:RAZ4"/>
    <mergeCell ref="RBA4:RBD4"/>
    <mergeCell ref="RBE4:RBH4"/>
    <mergeCell ref="RBI4:RBL4"/>
    <mergeCell ref="RBM4:RBP4"/>
    <mergeCell ref="RBQ4:RBT4"/>
    <mergeCell ref="RFM4:RFP4"/>
    <mergeCell ref="RFQ4:RFT4"/>
    <mergeCell ref="RFU4:RFX4"/>
    <mergeCell ref="RFY4:RGB4"/>
    <mergeCell ref="RGC4:RGF4"/>
    <mergeCell ref="RGG4:RGJ4"/>
    <mergeCell ref="REO4:RER4"/>
    <mergeCell ref="RES4:REV4"/>
    <mergeCell ref="REW4:REZ4"/>
    <mergeCell ref="RFA4:RFD4"/>
    <mergeCell ref="RFE4:RFH4"/>
    <mergeCell ref="RFI4:RFL4"/>
    <mergeCell ref="RDQ4:RDT4"/>
    <mergeCell ref="RDU4:RDX4"/>
    <mergeCell ref="RDY4:REB4"/>
    <mergeCell ref="REC4:REF4"/>
    <mergeCell ref="REG4:REJ4"/>
    <mergeCell ref="REK4:REN4"/>
    <mergeCell ref="RIG4:RIJ4"/>
    <mergeCell ref="RIK4:RIN4"/>
    <mergeCell ref="RIO4:RIR4"/>
    <mergeCell ref="RIS4:RIV4"/>
    <mergeCell ref="RIW4:RIZ4"/>
    <mergeCell ref="RJA4:RJD4"/>
    <mergeCell ref="RHI4:RHL4"/>
    <mergeCell ref="RHM4:RHP4"/>
    <mergeCell ref="RHQ4:RHT4"/>
    <mergeCell ref="RHU4:RHX4"/>
    <mergeCell ref="RHY4:RIB4"/>
    <mergeCell ref="RIC4:RIF4"/>
    <mergeCell ref="RGK4:RGN4"/>
    <mergeCell ref="RGO4:RGR4"/>
    <mergeCell ref="RGS4:RGV4"/>
    <mergeCell ref="RGW4:RGZ4"/>
    <mergeCell ref="RHA4:RHD4"/>
    <mergeCell ref="RHE4:RHH4"/>
    <mergeCell ref="RLA4:RLD4"/>
    <mergeCell ref="RLE4:RLH4"/>
    <mergeCell ref="RLI4:RLL4"/>
    <mergeCell ref="RLM4:RLP4"/>
    <mergeCell ref="RLQ4:RLT4"/>
    <mergeCell ref="RLU4:RLX4"/>
    <mergeCell ref="RKC4:RKF4"/>
    <mergeCell ref="RKG4:RKJ4"/>
    <mergeCell ref="RKK4:RKN4"/>
    <mergeCell ref="RKO4:RKR4"/>
    <mergeCell ref="RKS4:RKV4"/>
    <mergeCell ref="RKW4:RKZ4"/>
    <mergeCell ref="RJE4:RJH4"/>
    <mergeCell ref="RJI4:RJL4"/>
    <mergeCell ref="RJM4:RJP4"/>
    <mergeCell ref="RJQ4:RJT4"/>
    <mergeCell ref="RJU4:RJX4"/>
    <mergeCell ref="RJY4:RKB4"/>
    <mergeCell ref="RNU4:RNX4"/>
    <mergeCell ref="RNY4:ROB4"/>
    <mergeCell ref="ROC4:ROF4"/>
    <mergeCell ref="ROG4:ROJ4"/>
    <mergeCell ref="ROK4:RON4"/>
    <mergeCell ref="ROO4:ROR4"/>
    <mergeCell ref="RMW4:RMZ4"/>
    <mergeCell ref="RNA4:RND4"/>
    <mergeCell ref="RNE4:RNH4"/>
    <mergeCell ref="RNI4:RNL4"/>
    <mergeCell ref="RNM4:RNP4"/>
    <mergeCell ref="RNQ4:RNT4"/>
    <mergeCell ref="RLY4:RMB4"/>
    <mergeCell ref="RMC4:RMF4"/>
    <mergeCell ref="RMG4:RMJ4"/>
    <mergeCell ref="RMK4:RMN4"/>
    <mergeCell ref="RMO4:RMR4"/>
    <mergeCell ref="RMS4:RMV4"/>
    <mergeCell ref="RQO4:RQR4"/>
    <mergeCell ref="RQS4:RQV4"/>
    <mergeCell ref="RQW4:RQZ4"/>
    <mergeCell ref="RRA4:RRD4"/>
    <mergeCell ref="RRE4:RRH4"/>
    <mergeCell ref="RRI4:RRL4"/>
    <mergeCell ref="RPQ4:RPT4"/>
    <mergeCell ref="RPU4:RPX4"/>
    <mergeCell ref="RPY4:RQB4"/>
    <mergeCell ref="RQC4:RQF4"/>
    <mergeCell ref="RQG4:RQJ4"/>
    <mergeCell ref="RQK4:RQN4"/>
    <mergeCell ref="ROS4:ROV4"/>
    <mergeCell ref="ROW4:ROZ4"/>
    <mergeCell ref="RPA4:RPD4"/>
    <mergeCell ref="RPE4:RPH4"/>
    <mergeCell ref="RPI4:RPL4"/>
    <mergeCell ref="RPM4:RPP4"/>
    <mergeCell ref="RTI4:RTL4"/>
    <mergeCell ref="RTM4:RTP4"/>
    <mergeCell ref="RTQ4:RTT4"/>
    <mergeCell ref="RTU4:RTX4"/>
    <mergeCell ref="RTY4:RUB4"/>
    <mergeCell ref="RUC4:RUF4"/>
    <mergeCell ref="RSK4:RSN4"/>
    <mergeCell ref="RSO4:RSR4"/>
    <mergeCell ref="RSS4:RSV4"/>
    <mergeCell ref="RSW4:RSZ4"/>
    <mergeCell ref="RTA4:RTD4"/>
    <mergeCell ref="RTE4:RTH4"/>
    <mergeCell ref="RRM4:RRP4"/>
    <mergeCell ref="RRQ4:RRT4"/>
    <mergeCell ref="RRU4:RRX4"/>
    <mergeCell ref="RRY4:RSB4"/>
    <mergeCell ref="RSC4:RSF4"/>
    <mergeCell ref="RSG4:RSJ4"/>
    <mergeCell ref="RWC4:RWF4"/>
    <mergeCell ref="RWG4:RWJ4"/>
    <mergeCell ref="RWK4:RWN4"/>
    <mergeCell ref="RWO4:RWR4"/>
    <mergeCell ref="RWS4:RWV4"/>
    <mergeCell ref="RWW4:RWZ4"/>
    <mergeCell ref="RVE4:RVH4"/>
    <mergeCell ref="RVI4:RVL4"/>
    <mergeCell ref="RVM4:RVP4"/>
    <mergeCell ref="RVQ4:RVT4"/>
    <mergeCell ref="RVU4:RVX4"/>
    <mergeCell ref="RVY4:RWB4"/>
    <mergeCell ref="RUG4:RUJ4"/>
    <mergeCell ref="RUK4:RUN4"/>
    <mergeCell ref="RUO4:RUR4"/>
    <mergeCell ref="RUS4:RUV4"/>
    <mergeCell ref="RUW4:RUZ4"/>
    <mergeCell ref="RVA4:RVD4"/>
    <mergeCell ref="RYW4:RYZ4"/>
    <mergeCell ref="RZA4:RZD4"/>
    <mergeCell ref="RZE4:RZH4"/>
    <mergeCell ref="RZI4:RZL4"/>
    <mergeCell ref="RZM4:RZP4"/>
    <mergeCell ref="RZQ4:RZT4"/>
    <mergeCell ref="RXY4:RYB4"/>
    <mergeCell ref="RYC4:RYF4"/>
    <mergeCell ref="RYG4:RYJ4"/>
    <mergeCell ref="RYK4:RYN4"/>
    <mergeCell ref="RYO4:RYR4"/>
    <mergeCell ref="RYS4:RYV4"/>
    <mergeCell ref="RXA4:RXD4"/>
    <mergeCell ref="RXE4:RXH4"/>
    <mergeCell ref="RXI4:RXL4"/>
    <mergeCell ref="RXM4:RXP4"/>
    <mergeCell ref="RXQ4:RXT4"/>
    <mergeCell ref="RXU4:RXX4"/>
    <mergeCell ref="SBQ4:SBT4"/>
    <mergeCell ref="SBU4:SBX4"/>
    <mergeCell ref="SBY4:SCB4"/>
    <mergeCell ref="SCC4:SCF4"/>
    <mergeCell ref="SCG4:SCJ4"/>
    <mergeCell ref="SCK4:SCN4"/>
    <mergeCell ref="SAS4:SAV4"/>
    <mergeCell ref="SAW4:SAZ4"/>
    <mergeCell ref="SBA4:SBD4"/>
    <mergeCell ref="SBE4:SBH4"/>
    <mergeCell ref="SBI4:SBL4"/>
    <mergeCell ref="SBM4:SBP4"/>
    <mergeCell ref="RZU4:RZX4"/>
    <mergeCell ref="RZY4:SAB4"/>
    <mergeCell ref="SAC4:SAF4"/>
    <mergeCell ref="SAG4:SAJ4"/>
    <mergeCell ref="SAK4:SAN4"/>
    <mergeCell ref="SAO4:SAR4"/>
    <mergeCell ref="SEK4:SEN4"/>
    <mergeCell ref="SEO4:SER4"/>
    <mergeCell ref="SES4:SEV4"/>
    <mergeCell ref="SEW4:SEZ4"/>
    <mergeCell ref="SFA4:SFD4"/>
    <mergeCell ref="SFE4:SFH4"/>
    <mergeCell ref="SDM4:SDP4"/>
    <mergeCell ref="SDQ4:SDT4"/>
    <mergeCell ref="SDU4:SDX4"/>
    <mergeCell ref="SDY4:SEB4"/>
    <mergeCell ref="SEC4:SEF4"/>
    <mergeCell ref="SEG4:SEJ4"/>
    <mergeCell ref="SCO4:SCR4"/>
    <mergeCell ref="SCS4:SCV4"/>
    <mergeCell ref="SCW4:SCZ4"/>
    <mergeCell ref="SDA4:SDD4"/>
    <mergeCell ref="SDE4:SDH4"/>
    <mergeCell ref="SDI4:SDL4"/>
    <mergeCell ref="SHE4:SHH4"/>
    <mergeCell ref="SHI4:SHL4"/>
    <mergeCell ref="SHM4:SHP4"/>
    <mergeCell ref="SHQ4:SHT4"/>
    <mergeCell ref="SHU4:SHX4"/>
    <mergeCell ref="SHY4:SIB4"/>
    <mergeCell ref="SGG4:SGJ4"/>
    <mergeCell ref="SGK4:SGN4"/>
    <mergeCell ref="SGO4:SGR4"/>
    <mergeCell ref="SGS4:SGV4"/>
    <mergeCell ref="SGW4:SGZ4"/>
    <mergeCell ref="SHA4:SHD4"/>
    <mergeCell ref="SFI4:SFL4"/>
    <mergeCell ref="SFM4:SFP4"/>
    <mergeCell ref="SFQ4:SFT4"/>
    <mergeCell ref="SFU4:SFX4"/>
    <mergeCell ref="SFY4:SGB4"/>
    <mergeCell ref="SGC4:SGF4"/>
    <mergeCell ref="SJY4:SKB4"/>
    <mergeCell ref="SKC4:SKF4"/>
    <mergeCell ref="SKG4:SKJ4"/>
    <mergeCell ref="SKK4:SKN4"/>
    <mergeCell ref="SKO4:SKR4"/>
    <mergeCell ref="SKS4:SKV4"/>
    <mergeCell ref="SJA4:SJD4"/>
    <mergeCell ref="SJE4:SJH4"/>
    <mergeCell ref="SJI4:SJL4"/>
    <mergeCell ref="SJM4:SJP4"/>
    <mergeCell ref="SJQ4:SJT4"/>
    <mergeCell ref="SJU4:SJX4"/>
    <mergeCell ref="SIC4:SIF4"/>
    <mergeCell ref="SIG4:SIJ4"/>
    <mergeCell ref="SIK4:SIN4"/>
    <mergeCell ref="SIO4:SIR4"/>
    <mergeCell ref="SIS4:SIV4"/>
    <mergeCell ref="SIW4:SIZ4"/>
    <mergeCell ref="SMS4:SMV4"/>
    <mergeCell ref="SMW4:SMZ4"/>
    <mergeCell ref="SNA4:SND4"/>
    <mergeCell ref="SNE4:SNH4"/>
    <mergeCell ref="SNI4:SNL4"/>
    <mergeCell ref="SNM4:SNP4"/>
    <mergeCell ref="SLU4:SLX4"/>
    <mergeCell ref="SLY4:SMB4"/>
    <mergeCell ref="SMC4:SMF4"/>
    <mergeCell ref="SMG4:SMJ4"/>
    <mergeCell ref="SMK4:SMN4"/>
    <mergeCell ref="SMO4:SMR4"/>
    <mergeCell ref="SKW4:SKZ4"/>
    <mergeCell ref="SLA4:SLD4"/>
    <mergeCell ref="SLE4:SLH4"/>
    <mergeCell ref="SLI4:SLL4"/>
    <mergeCell ref="SLM4:SLP4"/>
    <mergeCell ref="SLQ4:SLT4"/>
    <mergeCell ref="SPM4:SPP4"/>
    <mergeCell ref="SPQ4:SPT4"/>
    <mergeCell ref="SPU4:SPX4"/>
    <mergeCell ref="SPY4:SQB4"/>
    <mergeCell ref="SQC4:SQF4"/>
    <mergeCell ref="SQG4:SQJ4"/>
    <mergeCell ref="SOO4:SOR4"/>
    <mergeCell ref="SOS4:SOV4"/>
    <mergeCell ref="SOW4:SOZ4"/>
    <mergeCell ref="SPA4:SPD4"/>
    <mergeCell ref="SPE4:SPH4"/>
    <mergeCell ref="SPI4:SPL4"/>
    <mergeCell ref="SNQ4:SNT4"/>
    <mergeCell ref="SNU4:SNX4"/>
    <mergeCell ref="SNY4:SOB4"/>
    <mergeCell ref="SOC4:SOF4"/>
    <mergeCell ref="SOG4:SOJ4"/>
    <mergeCell ref="SOK4:SON4"/>
    <mergeCell ref="SSG4:SSJ4"/>
    <mergeCell ref="SSK4:SSN4"/>
    <mergeCell ref="SSO4:SSR4"/>
    <mergeCell ref="SSS4:SSV4"/>
    <mergeCell ref="SSW4:SSZ4"/>
    <mergeCell ref="STA4:STD4"/>
    <mergeCell ref="SRI4:SRL4"/>
    <mergeCell ref="SRM4:SRP4"/>
    <mergeCell ref="SRQ4:SRT4"/>
    <mergeCell ref="SRU4:SRX4"/>
    <mergeCell ref="SRY4:SSB4"/>
    <mergeCell ref="SSC4:SSF4"/>
    <mergeCell ref="SQK4:SQN4"/>
    <mergeCell ref="SQO4:SQR4"/>
    <mergeCell ref="SQS4:SQV4"/>
    <mergeCell ref="SQW4:SQZ4"/>
    <mergeCell ref="SRA4:SRD4"/>
    <mergeCell ref="SRE4:SRH4"/>
    <mergeCell ref="SVA4:SVD4"/>
    <mergeCell ref="SVE4:SVH4"/>
    <mergeCell ref="SVI4:SVL4"/>
    <mergeCell ref="SVM4:SVP4"/>
    <mergeCell ref="SVQ4:SVT4"/>
    <mergeCell ref="SVU4:SVX4"/>
    <mergeCell ref="SUC4:SUF4"/>
    <mergeCell ref="SUG4:SUJ4"/>
    <mergeCell ref="SUK4:SUN4"/>
    <mergeCell ref="SUO4:SUR4"/>
    <mergeCell ref="SUS4:SUV4"/>
    <mergeCell ref="SUW4:SUZ4"/>
    <mergeCell ref="STE4:STH4"/>
    <mergeCell ref="STI4:STL4"/>
    <mergeCell ref="STM4:STP4"/>
    <mergeCell ref="STQ4:STT4"/>
    <mergeCell ref="STU4:STX4"/>
    <mergeCell ref="STY4:SUB4"/>
    <mergeCell ref="SXU4:SXX4"/>
    <mergeCell ref="SXY4:SYB4"/>
    <mergeCell ref="SYC4:SYF4"/>
    <mergeCell ref="SYG4:SYJ4"/>
    <mergeCell ref="SYK4:SYN4"/>
    <mergeCell ref="SYO4:SYR4"/>
    <mergeCell ref="SWW4:SWZ4"/>
    <mergeCell ref="SXA4:SXD4"/>
    <mergeCell ref="SXE4:SXH4"/>
    <mergeCell ref="SXI4:SXL4"/>
    <mergeCell ref="SXM4:SXP4"/>
    <mergeCell ref="SXQ4:SXT4"/>
    <mergeCell ref="SVY4:SWB4"/>
    <mergeCell ref="SWC4:SWF4"/>
    <mergeCell ref="SWG4:SWJ4"/>
    <mergeCell ref="SWK4:SWN4"/>
    <mergeCell ref="SWO4:SWR4"/>
    <mergeCell ref="SWS4:SWV4"/>
    <mergeCell ref="TAO4:TAR4"/>
    <mergeCell ref="TAS4:TAV4"/>
    <mergeCell ref="TAW4:TAZ4"/>
    <mergeCell ref="TBA4:TBD4"/>
    <mergeCell ref="TBE4:TBH4"/>
    <mergeCell ref="TBI4:TBL4"/>
    <mergeCell ref="SZQ4:SZT4"/>
    <mergeCell ref="SZU4:SZX4"/>
    <mergeCell ref="SZY4:TAB4"/>
    <mergeCell ref="TAC4:TAF4"/>
    <mergeCell ref="TAG4:TAJ4"/>
    <mergeCell ref="TAK4:TAN4"/>
    <mergeCell ref="SYS4:SYV4"/>
    <mergeCell ref="SYW4:SYZ4"/>
    <mergeCell ref="SZA4:SZD4"/>
    <mergeCell ref="SZE4:SZH4"/>
    <mergeCell ref="SZI4:SZL4"/>
    <mergeCell ref="SZM4:SZP4"/>
    <mergeCell ref="TDI4:TDL4"/>
    <mergeCell ref="TDM4:TDP4"/>
    <mergeCell ref="TDQ4:TDT4"/>
    <mergeCell ref="TDU4:TDX4"/>
    <mergeCell ref="TDY4:TEB4"/>
    <mergeCell ref="TEC4:TEF4"/>
    <mergeCell ref="TCK4:TCN4"/>
    <mergeCell ref="TCO4:TCR4"/>
    <mergeCell ref="TCS4:TCV4"/>
    <mergeCell ref="TCW4:TCZ4"/>
    <mergeCell ref="TDA4:TDD4"/>
    <mergeCell ref="TDE4:TDH4"/>
    <mergeCell ref="TBM4:TBP4"/>
    <mergeCell ref="TBQ4:TBT4"/>
    <mergeCell ref="TBU4:TBX4"/>
    <mergeCell ref="TBY4:TCB4"/>
    <mergeCell ref="TCC4:TCF4"/>
    <mergeCell ref="TCG4:TCJ4"/>
    <mergeCell ref="TGC4:TGF4"/>
    <mergeCell ref="TGG4:TGJ4"/>
    <mergeCell ref="TGK4:TGN4"/>
    <mergeCell ref="TGO4:TGR4"/>
    <mergeCell ref="TGS4:TGV4"/>
    <mergeCell ref="TGW4:TGZ4"/>
    <mergeCell ref="TFE4:TFH4"/>
    <mergeCell ref="TFI4:TFL4"/>
    <mergeCell ref="TFM4:TFP4"/>
    <mergeCell ref="TFQ4:TFT4"/>
    <mergeCell ref="TFU4:TFX4"/>
    <mergeCell ref="TFY4:TGB4"/>
    <mergeCell ref="TEG4:TEJ4"/>
    <mergeCell ref="TEK4:TEN4"/>
    <mergeCell ref="TEO4:TER4"/>
    <mergeCell ref="TES4:TEV4"/>
    <mergeCell ref="TEW4:TEZ4"/>
    <mergeCell ref="TFA4:TFD4"/>
    <mergeCell ref="TIW4:TIZ4"/>
    <mergeCell ref="TJA4:TJD4"/>
    <mergeCell ref="TJE4:TJH4"/>
    <mergeCell ref="TJI4:TJL4"/>
    <mergeCell ref="TJM4:TJP4"/>
    <mergeCell ref="TJQ4:TJT4"/>
    <mergeCell ref="THY4:TIB4"/>
    <mergeCell ref="TIC4:TIF4"/>
    <mergeCell ref="TIG4:TIJ4"/>
    <mergeCell ref="TIK4:TIN4"/>
    <mergeCell ref="TIO4:TIR4"/>
    <mergeCell ref="TIS4:TIV4"/>
    <mergeCell ref="THA4:THD4"/>
    <mergeCell ref="THE4:THH4"/>
    <mergeCell ref="THI4:THL4"/>
    <mergeCell ref="THM4:THP4"/>
    <mergeCell ref="THQ4:THT4"/>
    <mergeCell ref="THU4:THX4"/>
    <mergeCell ref="TLQ4:TLT4"/>
    <mergeCell ref="TLU4:TLX4"/>
    <mergeCell ref="TLY4:TMB4"/>
    <mergeCell ref="TMC4:TMF4"/>
    <mergeCell ref="TMG4:TMJ4"/>
    <mergeCell ref="TMK4:TMN4"/>
    <mergeCell ref="TKS4:TKV4"/>
    <mergeCell ref="TKW4:TKZ4"/>
    <mergeCell ref="TLA4:TLD4"/>
    <mergeCell ref="TLE4:TLH4"/>
    <mergeCell ref="TLI4:TLL4"/>
    <mergeCell ref="TLM4:TLP4"/>
    <mergeCell ref="TJU4:TJX4"/>
    <mergeCell ref="TJY4:TKB4"/>
    <mergeCell ref="TKC4:TKF4"/>
    <mergeCell ref="TKG4:TKJ4"/>
    <mergeCell ref="TKK4:TKN4"/>
    <mergeCell ref="TKO4:TKR4"/>
    <mergeCell ref="TOK4:TON4"/>
    <mergeCell ref="TOO4:TOR4"/>
    <mergeCell ref="TOS4:TOV4"/>
    <mergeCell ref="TOW4:TOZ4"/>
    <mergeCell ref="TPA4:TPD4"/>
    <mergeCell ref="TPE4:TPH4"/>
    <mergeCell ref="TNM4:TNP4"/>
    <mergeCell ref="TNQ4:TNT4"/>
    <mergeCell ref="TNU4:TNX4"/>
    <mergeCell ref="TNY4:TOB4"/>
    <mergeCell ref="TOC4:TOF4"/>
    <mergeCell ref="TOG4:TOJ4"/>
    <mergeCell ref="TMO4:TMR4"/>
    <mergeCell ref="TMS4:TMV4"/>
    <mergeCell ref="TMW4:TMZ4"/>
    <mergeCell ref="TNA4:TND4"/>
    <mergeCell ref="TNE4:TNH4"/>
    <mergeCell ref="TNI4:TNL4"/>
    <mergeCell ref="TRE4:TRH4"/>
    <mergeCell ref="TRI4:TRL4"/>
    <mergeCell ref="TRM4:TRP4"/>
    <mergeCell ref="TRQ4:TRT4"/>
    <mergeCell ref="TRU4:TRX4"/>
    <mergeCell ref="TRY4:TSB4"/>
    <mergeCell ref="TQG4:TQJ4"/>
    <mergeCell ref="TQK4:TQN4"/>
    <mergeCell ref="TQO4:TQR4"/>
    <mergeCell ref="TQS4:TQV4"/>
    <mergeCell ref="TQW4:TQZ4"/>
    <mergeCell ref="TRA4:TRD4"/>
    <mergeCell ref="TPI4:TPL4"/>
    <mergeCell ref="TPM4:TPP4"/>
    <mergeCell ref="TPQ4:TPT4"/>
    <mergeCell ref="TPU4:TPX4"/>
    <mergeCell ref="TPY4:TQB4"/>
    <mergeCell ref="TQC4:TQF4"/>
    <mergeCell ref="TTY4:TUB4"/>
    <mergeCell ref="TUC4:TUF4"/>
    <mergeCell ref="TUG4:TUJ4"/>
    <mergeCell ref="TUK4:TUN4"/>
    <mergeCell ref="TUO4:TUR4"/>
    <mergeCell ref="TUS4:TUV4"/>
    <mergeCell ref="TTA4:TTD4"/>
    <mergeCell ref="TTE4:TTH4"/>
    <mergeCell ref="TTI4:TTL4"/>
    <mergeCell ref="TTM4:TTP4"/>
    <mergeCell ref="TTQ4:TTT4"/>
    <mergeCell ref="TTU4:TTX4"/>
    <mergeCell ref="TSC4:TSF4"/>
    <mergeCell ref="TSG4:TSJ4"/>
    <mergeCell ref="TSK4:TSN4"/>
    <mergeCell ref="TSO4:TSR4"/>
    <mergeCell ref="TSS4:TSV4"/>
    <mergeCell ref="TSW4:TSZ4"/>
    <mergeCell ref="TWS4:TWV4"/>
    <mergeCell ref="TWW4:TWZ4"/>
    <mergeCell ref="TXA4:TXD4"/>
    <mergeCell ref="TXE4:TXH4"/>
    <mergeCell ref="TXI4:TXL4"/>
    <mergeCell ref="TXM4:TXP4"/>
    <mergeCell ref="TVU4:TVX4"/>
    <mergeCell ref="TVY4:TWB4"/>
    <mergeCell ref="TWC4:TWF4"/>
    <mergeCell ref="TWG4:TWJ4"/>
    <mergeCell ref="TWK4:TWN4"/>
    <mergeCell ref="TWO4:TWR4"/>
    <mergeCell ref="TUW4:TUZ4"/>
    <mergeCell ref="TVA4:TVD4"/>
    <mergeCell ref="TVE4:TVH4"/>
    <mergeCell ref="TVI4:TVL4"/>
    <mergeCell ref="TVM4:TVP4"/>
    <mergeCell ref="TVQ4:TVT4"/>
    <mergeCell ref="TZM4:TZP4"/>
    <mergeCell ref="TZQ4:TZT4"/>
    <mergeCell ref="TZU4:TZX4"/>
    <mergeCell ref="TZY4:UAB4"/>
    <mergeCell ref="UAC4:UAF4"/>
    <mergeCell ref="UAG4:UAJ4"/>
    <mergeCell ref="TYO4:TYR4"/>
    <mergeCell ref="TYS4:TYV4"/>
    <mergeCell ref="TYW4:TYZ4"/>
    <mergeCell ref="TZA4:TZD4"/>
    <mergeCell ref="TZE4:TZH4"/>
    <mergeCell ref="TZI4:TZL4"/>
    <mergeCell ref="TXQ4:TXT4"/>
    <mergeCell ref="TXU4:TXX4"/>
    <mergeCell ref="TXY4:TYB4"/>
    <mergeCell ref="TYC4:TYF4"/>
    <mergeCell ref="TYG4:TYJ4"/>
    <mergeCell ref="TYK4:TYN4"/>
    <mergeCell ref="UCG4:UCJ4"/>
    <mergeCell ref="UCK4:UCN4"/>
    <mergeCell ref="UCO4:UCR4"/>
    <mergeCell ref="UCS4:UCV4"/>
    <mergeCell ref="UCW4:UCZ4"/>
    <mergeCell ref="UDA4:UDD4"/>
    <mergeCell ref="UBI4:UBL4"/>
    <mergeCell ref="UBM4:UBP4"/>
    <mergeCell ref="UBQ4:UBT4"/>
    <mergeCell ref="UBU4:UBX4"/>
    <mergeCell ref="UBY4:UCB4"/>
    <mergeCell ref="UCC4:UCF4"/>
    <mergeCell ref="UAK4:UAN4"/>
    <mergeCell ref="UAO4:UAR4"/>
    <mergeCell ref="UAS4:UAV4"/>
    <mergeCell ref="UAW4:UAZ4"/>
    <mergeCell ref="UBA4:UBD4"/>
    <mergeCell ref="UBE4:UBH4"/>
    <mergeCell ref="UFA4:UFD4"/>
    <mergeCell ref="UFE4:UFH4"/>
    <mergeCell ref="UFI4:UFL4"/>
    <mergeCell ref="UFM4:UFP4"/>
    <mergeCell ref="UFQ4:UFT4"/>
    <mergeCell ref="UFU4:UFX4"/>
    <mergeCell ref="UEC4:UEF4"/>
    <mergeCell ref="UEG4:UEJ4"/>
    <mergeCell ref="UEK4:UEN4"/>
    <mergeCell ref="UEO4:UER4"/>
    <mergeCell ref="UES4:UEV4"/>
    <mergeCell ref="UEW4:UEZ4"/>
    <mergeCell ref="UDE4:UDH4"/>
    <mergeCell ref="UDI4:UDL4"/>
    <mergeCell ref="UDM4:UDP4"/>
    <mergeCell ref="UDQ4:UDT4"/>
    <mergeCell ref="UDU4:UDX4"/>
    <mergeCell ref="UDY4:UEB4"/>
    <mergeCell ref="UHU4:UHX4"/>
    <mergeCell ref="UHY4:UIB4"/>
    <mergeCell ref="UIC4:UIF4"/>
    <mergeCell ref="UIG4:UIJ4"/>
    <mergeCell ref="UIK4:UIN4"/>
    <mergeCell ref="UIO4:UIR4"/>
    <mergeCell ref="UGW4:UGZ4"/>
    <mergeCell ref="UHA4:UHD4"/>
    <mergeCell ref="UHE4:UHH4"/>
    <mergeCell ref="UHI4:UHL4"/>
    <mergeCell ref="UHM4:UHP4"/>
    <mergeCell ref="UHQ4:UHT4"/>
    <mergeCell ref="UFY4:UGB4"/>
    <mergeCell ref="UGC4:UGF4"/>
    <mergeCell ref="UGG4:UGJ4"/>
    <mergeCell ref="UGK4:UGN4"/>
    <mergeCell ref="UGO4:UGR4"/>
    <mergeCell ref="UGS4:UGV4"/>
    <mergeCell ref="UKO4:UKR4"/>
    <mergeCell ref="UKS4:UKV4"/>
    <mergeCell ref="UKW4:UKZ4"/>
    <mergeCell ref="ULA4:ULD4"/>
    <mergeCell ref="ULE4:ULH4"/>
    <mergeCell ref="ULI4:ULL4"/>
    <mergeCell ref="UJQ4:UJT4"/>
    <mergeCell ref="UJU4:UJX4"/>
    <mergeCell ref="UJY4:UKB4"/>
    <mergeCell ref="UKC4:UKF4"/>
    <mergeCell ref="UKG4:UKJ4"/>
    <mergeCell ref="UKK4:UKN4"/>
    <mergeCell ref="UIS4:UIV4"/>
    <mergeCell ref="UIW4:UIZ4"/>
    <mergeCell ref="UJA4:UJD4"/>
    <mergeCell ref="UJE4:UJH4"/>
    <mergeCell ref="UJI4:UJL4"/>
    <mergeCell ref="UJM4:UJP4"/>
    <mergeCell ref="UNI4:UNL4"/>
    <mergeCell ref="UNM4:UNP4"/>
    <mergeCell ref="UNQ4:UNT4"/>
    <mergeCell ref="UNU4:UNX4"/>
    <mergeCell ref="UNY4:UOB4"/>
    <mergeCell ref="UOC4:UOF4"/>
    <mergeCell ref="UMK4:UMN4"/>
    <mergeCell ref="UMO4:UMR4"/>
    <mergeCell ref="UMS4:UMV4"/>
    <mergeCell ref="UMW4:UMZ4"/>
    <mergeCell ref="UNA4:UND4"/>
    <mergeCell ref="UNE4:UNH4"/>
    <mergeCell ref="ULM4:ULP4"/>
    <mergeCell ref="ULQ4:ULT4"/>
    <mergeCell ref="ULU4:ULX4"/>
    <mergeCell ref="ULY4:UMB4"/>
    <mergeCell ref="UMC4:UMF4"/>
    <mergeCell ref="UMG4:UMJ4"/>
    <mergeCell ref="UQC4:UQF4"/>
    <mergeCell ref="UQG4:UQJ4"/>
    <mergeCell ref="UQK4:UQN4"/>
    <mergeCell ref="UQO4:UQR4"/>
    <mergeCell ref="UQS4:UQV4"/>
    <mergeCell ref="UQW4:UQZ4"/>
    <mergeCell ref="UPE4:UPH4"/>
    <mergeCell ref="UPI4:UPL4"/>
    <mergeCell ref="UPM4:UPP4"/>
    <mergeCell ref="UPQ4:UPT4"/>
    <mergeCell ref="UPU4:UPX4"/>
    <mergeCell ref="UPY4:UQB4"/>
    <mergeCell ref="UOG4:UOJ4"/>
    <mergeCell ref="UOK4:UON4"/>
    <mergeCell ref="UOO4:UOR4"/>
    <mergeCell ref="UOS4:UOV4"/>
    <mergeCell ref="UOW4:UOZ4"/>
    <mergeCell ref="UPA4:UPD4"/>
    <mergeCell ref="USW4:USZ4"/>
    <mergeCell ref="UTA4:UTD4"/>
    <mergeCell ref="UTE4:UTH4"/>
    <mergeCell ref="UTI4:UTL4"/>
    <mergeCell ref="UTM4:UTP4"/>
    <mergeCell ref="UTQ4:UTT4"/>
    <mergeCell ref="URY4:USB4"/>
    <mergeCell ref="USC4:USF4"/>
    <mergeCell ref="USG4:USJ4"/>
    <mergeCell ref="USK4:USN4"/>
    <mergeCell ref="USO4:USR4"/>
    <mergeCell ref="USS4:USV4"/>
    <mergeCell ref="URA4:URD4"/>
    <mergeCell ref="URE4:URH4"/>
    <mergeCell ref="URI4:URL4"/>
    <mergeCell ref="URM4:URP4"/>
    <mergeCell ref="URQ4:URT4"/>
    <mergeCell ref="URU4:URX4"/>
    <mergeCell ref="UVQ4:UVT4"/>
    <mergeCell ref="UVU4:UVX4"/>
    <mergeCell ref="UVY4:UWB4"/>
    <mergeCell ref="UWC4:UWF4"/>
    <mergeCell ref="UWG4:UWJ4"/>
    <mergeCell ref="UWK4:UWN4"/>
    <mergeCell ref="UUS4:UUV4"/>
    <mergeCell ref="UUW4:UUZ4"/>
    <mergeCell ref="UVA4:UVD4"/>
    <mergeCell ref="UVE4:UVH4"/>
    <mergeCell ref="UVI4:UVL4"/>
    <mergeCell ref="UVM4:UVP4"/>
    <mergeCell ref="UTU4:UTX4"/>
    <mergeCell ref="UTY4:UUB4"/>
    <mergeCell ref="UUC4:UUF4"/>
    <mergeCell ref="UUG4:UUJ4"/>
    <mergeCell ref="UUK4:UUN4"/>
    <mergeCell ref="UUO4:UUR4"/>
    <mergeCell ref="UYK4:UYN4"/>
    <mergeCell ref="UYO4:UYR4"/>
    <mergeCell ref="UYS4:UYV4"/>
    <mergeCell ref="UYW4:UYZ4"/>
    <mergeCell ref="UZA4:UZD4"/>
    <mergeCell ref="UZE4:UZH4"/>
    <mergeCell ref="UXM4:UXP4"/>
    <mergeCell ref="UXQ4:UXT4"/>
    <mergeCell ref="UXU4:UXX4"/>
    <mergeCell ref="UXY4:UYB4"/>
    <mergeCell ref="UYC4:UYF4"/>
    <mergeCell ref="UYG4:UYJ4"/>
    <mergeCell ref="UWO4:UWR4"/>
    <mergeCell ref="UWS4:UWV4"/>
    <mergeCell ref="UWW4:UWZ4"/>
    <mergeCell ref="UXA4:UXD4"/>
    <mergeCell ref="UXE4:UXH4"/>
    <mergeCell ref="UXI4:UXL4"/>
    <mergeCell ref="VBE4:VBH4"/>
    <mergeCell ref="VBI4:VBL4"/>
    <mergeCell ref="VBM4:VBP4"/>
    <mergeCell ref="VBQ4:VBT4"/>
    <mergeCell ref="VBU4:VBX4"/>
    <mergeCell ref="VBY4:VCB4"/>
    <mergeCell ref="VAG4:VAJ4"/>
    <mergeCell ref="VAK4:VAN4"/>
    <mergeCell ref="VAO4:VAR4"/>
    <mergeCell ref="VAS4:VAV4"/>
    <mergeCell ref="VAW4:VAZ4"/>
    <mergeCell ref="VBA4:VBD4"/>
    <mergeCell ref="UZI4:UZL4"/>
    <mergeCell ref="UZM4:UZP4"/>
    <mergeCell ref="UZQ4:UZT4"/>
    <mergeCell ref="UZU4:UZX4"/>
    <mergeCell ref="UZY4:VAB4"/>
    <mergeCell ref="VAC4:VAF4"/>
    <mergeCell ref="VDY4:VEB4"/>
    <mergeCell ref="VEC4:VEF4"/>
    <mergeCell ref="VEG4:VEJ4"/>
    <mergeCell ref="VEK4:VEN4"/>
    <mergeCell ref="VEO4:VER4"/>
    <mergeCell ref="VES4:VEV4"/>
    <mergeCell ref="VDA4:VDD4"/>
    <mergeCell ref="VDE4:VDH4"/>
    <mergeCell ref="VDI4:VDL4"/>
    <mergeCell ref="VDM4:VDP4"/>
    <mergeCell ref="VDQ4:VDT4"/>
    <mergeCell ref="VDU4:VDX4"/>
    <mergeCell ref="VCC4:VCF4"/>
    <mergeCell ref="VCG4:VCJ4"/>
    <mergeCell ref="VCK4:VCN4"/>
    <mergeCell ref="VCO4:VCR4"/>
    <mergeCell ref="VCS4:VCV4"/>
    <mergeCell ref="VCW4:VCZ4"/>
    <mergeCell ref="VGS4:VGV4"/>
    <mergeCell ref="VGW4:VGZ4"/>
    <mergeCell ref="VHA4:VHD4"/>
    <mergeCell ref="VHE4:VHH4"/>
    <mergeCell ref="VHI4:VHL4"/>
    <mergeCell ref="VHM4:VHP4"/>
    <mergeCell ref="VFU4:VFX4"/>
    <mergeCell ref="VFY4:VGB4"/>
    <mergeCell ref="VGC4:VGF4"/>
    <mergeCell ref="VGG4:VGJ4"/>
    <mergeCell ref="VGK4:VGN4"/>
    <mergeCell ref="VGO4:VGR4"/>
    <mergeCell ref="VEW4:VEZ4"/>
    <mergeCell ref="VFA4:VFD4"/>
    <mergeCell ref="VFE4:VFH4"/>
    <mergeCell ref="VFI4:VFL4"/>
    <mergeCell ref="VFM4:VFP4"/>
    <mergeCell ref="VFQ4:VFT4"/>
    <mergeCell ref="VJM4:VJP4"/>
    <mergeCell ref="VJQ4:VJT4"/>
    <mergeCell ref="VJU4:VJX4"/>
    <mergeCell ref="VJY4:VKB4"/>
    <mergeCell ref="VKC4:VKF4"/>
    <mergeCell ref="VKG4:VKJ4"/>
    <mergeCell ref="VIO4:VIR4"/>
    <mergeCell ref="VIS4:VIV4"/>
    <mergeCell ref="VIW4:VIZ4"/>
    <mergeCell ref="VJA4:VJD4"/>
    <mergeCell ref="VJE4:VJH4"/>
    <mergeCell ref="VJI4:VJL4"/>
    <mergeCell ref="VHQ4:VHT4"/>
    <mergeCell ref="VHU4:VHX4"/>
    <mergeCell ref="VHY4:VIB4"/>
    <mergeCell ref="VIC4:VIF4"/>
    <mergeCell ref="VIG4:VIJ4"/>
    <mergeCell ref="VIK4:VIN4"/>
    <mergeCell ref="VMG4:VMJ4"/>
    <mergeCell ref="VMK4:VMN4"/>
    <mergeCell ref="VMO4:VMR4"/>
    <mergeCell ref="VMS4:VMV4"/>
    <mergeCell ref="VMW4:VMZ4"/>
    <mergeCell ref="VNA4:VND4"/>
    <mergeCell ref="VLI4:VLL4"/>
    <mergeCell ref="VLM4:VLP4"/>
    <mergeCell ref="VLQ4:VLT4"/>
    <mergeCell ref="VLU4:VLX4"/>
    <mergeCell ref="VLY4:VMB4"/>
    <mergeCell ref="VMC4:VMF4"/>
    <mergeCell ref="VKK4:VKN4"/>
    <mergeCell ref="VKO4:VKR4"/>
    <mergeCell ref="VKS4:VKV4"/>
    <mergeCell ref="VKW4:VKZ4"/>
    <mergeCell ref="VLA4:VLD4"/>
    <mergeCell ref="VLE4:VLH4"/>
    <mergeCell ref="VPA4:VPD4"/>
    <mergeCell ref="VPE4:VPH4"/>
    <mergeCell ref="VPI4:VPL4"/>
    <mergeCell ref="VPM4:VPP4"/>
    <mergeCell ref="VPQ4:VPT4"/>
    <mergeCell ref="VPU4:VPX4"/>
    <mergeCell ref="VOC4:VOF4"/>
    <mergeCell ref="VOG4:VOJ4"/>
    <mergeCell ref="VOK4:VON4"/>
    <mergeCell ref="VOO4:VOR4"/>
    <mergeCell ref="VOS4:VOV4"/>
    <mergeCell ref="VOW4:VOZ4"/>
    <mergeCell ref="VNE4:VNH4"/>
    <mergeCell ref="VNI4:VNL4"/>
    <mergeCell ref="VNM4:VNP4"/>
    <mergeCell ref="VNQ4:VNT4"/>
    <mergeCell ref="VNU4:VNX4"/>
    <mergeCell ref="VNY4:VOB4"/>
    <mergeCell ref="VRU4:VRX4"/>
    <mergeCell ref="VRY4:VSB4"/>
    <mergeCell ref="VSC4:VSF4"/>
    <mergeCell ref="VSG4:VSJ4"/>
    <mergeCell ref="VSK4:VSN4"/>
    <mergeCell ref="VSO4:VSR4"/>
    <mergeCell ref="VQW4:VQZ4"/>
    <mergeCell ref="VRA4:VRD4"/>
    <mergeCell ref="VRE4:VRH4"/>
    <mergeCell ref="VRI4:VRL4"/>
    <mergeCell ref="VRM4:VRP4"/>
    <mergeCell ref="VRQ4:VRT4"/>
    <mergeCell ref="VPY4:VQB4"/>
    <mergeCell ref="VQC4:VQF4"/>
    <mergeCell ref="VQG4:VQJ4"/>
    <mergeCell ref="VQK4:VQN4"/>
    <mergeCell ref="VQO4:VQR4"/>
    <mergeCell ref="VQS4:VQV4"/>
    <mergeCell ref="VUO4:VUR4"/>
    <mergeCell ref="VUS4:VUV4"/>
    <mergeCell ref="VUW4:VUZ4"/>
    <mergeCell ref="VVA4:VVD4"/>
    <mergeCell ref="VVE4:VVH4"/>
    <mergeCell ref="VVI4:VVL4"/>
    <mergeCell ref="VTQ4:VTT4"/>
    <mergeCell ref="VTU4:VTX4"/>
    <mergeCell ref="VTY4:VUB4"/>
    <mergeCell ref="VUC4:VUF4"/>
    <mergeCell ref="VUG4:VUJ4"/>
    <mergeCell ref="VUK4:VUN4"/>
    <mergeCell ref="VSS4:VSV4"/>
    <mergeCell ref="VSW4:VSZ4"/>
    <mergeCell ref="VTA4:VTD4"/>
    <mergeCell ref="VTE4:VTH4"/>
    <mergeCell ref="VTI4:VTL4"/>
    <mergeCell ref="VTM4:VTP4"/>
    <mergeCell ref="VXI4:VXL4"/>
    <mergeCell ref="VXM4:VXP4"/>
    <mergeCell ref="VXQ4:VXT4"/>
    <mergeCell ref="VXU4:VXX4"/>
    <mergeCell ref="VXY4:VYB4"/>
    <mergeCell ref="VYC4:VYF4"/>
    <mergeCell ref="VWK4:VWN4"/>
    <mergeCell ref="VWO4:VWR4"/>
    <mergeCell ref="VWS4:VWV4"/>
    <mergeCell ref="VWW4:VWZ4"/>
    <mergeCell ref="VXA4:VXD4"/>
    <mergeCell ref="VXE4:VXH4"/>
    <mergeCell ref="VVM4:VVP4"/>
    <mergeCell ref="VVQ4:VVT4"/>
    <mergeCell ref="VVU4:VVX4"/>
    <mergeCell ref="VVY4:VWB4"/>
    <mergeCell ref="VWC4:VWF4"/>
    <mergeCell ref="VWG4:VWJ4"/>
    <mergeCell ref="WAC4:WAF4"/>
    <mergeCell ref="WAG4:WAJ4"/>
    <mergeCell ref="WAK4:WAN4"/>
    <mergeCell ref="WAO4:WAR4"/>
    <mergeCell ref="WAS4:WAV4"/>
    <mergeCell ref="WAW4:WAZ4"/>
    <mergeCell ref="VZE4:VZH4"/>
    <mergeCell ref="VZI4:VZL4"/>
    <mergeCell ref="VZM4:VZP4"/>
    <mergeCell ref="VZQ4:VZT4"/>
    <mergeCell ref="VZU4:VZX4"/>
    <mergeCell ref="VZY4:WAB4"/>
    <mergeCell ref="VYG4:VYJ4"/>
    <mergeCell ref="VYK4:VYN4"/>
    <mergeCell ref="VYO4:VYR4"/>
    <mergeCell ref="VYS4:VYV4"/>
    <mergeCell ref="VYW4:VYZ4"/>
    <mergeCell ref="VZA4:VZD4"/>
    <mergeCell ref="WCW4:WCZ4"/>
    <mergeCell ref="WDA4:WDD4"/>
    <mergeCell ref="WDE4:WDH4"/>
    <mergeCell ref="WDI4:WDL4"/>
    <mergeCell ref="WDM4:WDP4"/>
    <mergeCell ref="WDQ4:WDT4"/>
    <mergeCell ref="WBY4:WCB4"/>
    <mergeCell ref="WCC4:WCF4"/>
    <mergeCell ref="WCG4:WCJ4"/>
    <mergeCell ref="WCK4:WCN4"/>
    <mergeCell ref="WCO4:WCR4"/>
    <mergeCell ref="WCS4:WCV4"/>
    <mergeCell ref="WBA4:WBD4"/>
    <mergeCell ref="WBE4:WBH4"/>
    <mergeCell ref="WBI4:WBL4"/>
    <mergeCell ref="WBM4:WBP4"/>
    <mergeCell ref="WBQ4:WBT4"/>
    <mergeCell ref="WBU4:WBX4"/>
    <mergeCell ref="WFQ4:WFT4"/>
    <mergeCell ref="WFU4:WFX4"/>
    <mergeCell ref="WFY4:WGB4"/>
    <mergeCell ref="WGC4:WGF4"/>
    <mergeCell ref="WGG4:WGJ4"/>
    <mergeCell ref="WGK4:WGN4"/>
    <mergeCell ref="WES4:WEV4"/>
    <mergeCell ref="WEW4:WEZ4"/>
    <mergeCell ref="WFA4:WFD4"/>
    <mergeCell ref="WFE4:WFH4"/>
    <mergeCell ref="WFI4:WFL4"/>
    <mergeCell ref="WFM4:WFP4"/>
    <mergeCell ref="WDU4:WDX4"/>
    <mergeCell ref="WDY4:WEB4"/>
    <mergeCell ref="WEC4:WEF4"/>
    <mergeCell ref="WEG4:WEJ4"/>
    <mergeCell ref="WEK4:WEN4"/>
    <mergeCell ref="WEO4:WER4"/>
    <mergeCell ref="WIK4:WIN4"/>
    <mergeCell ref="WIO4:WIR4"/>
    <mergeCell ref="WIS4:WIV4"/>
    <mergeCell ref="WIW4:WIZ4"/>
    <mergeCell ref="WJA4:WJD4"/>
    <mergeCell ref="WJE4:WJH4"/>
    <mergeCell ref="WHM4:WHP4"/>
    <mergeCell ref="WHQ4:WHT4"/>
    <mergeCell ref="WHU4:WHX4"/>
    <mergeCell ref="WHY4:WIB4"/>
    <mergeCell ref="WIC4:WIF4"/>
    <mergeCell ref="WIG4:WIJ4"/>
    <mergeCell ref="WGO4:WGR4"/>
    <mergeCell ref="WGS4:WGV4"/>
    <mergeCell ref="WGW4:WGZ4"/>
    <mergeCell ref="WHA4:WHD4"/>
    <mergeCell ref="WHE4:WHH4"/>
    <mergeCell ref="WHI4:WHL4"/>
    <mergeCell ref="WLE4:WLH4"/>
    <mergeCell ref="WLI4:WLL4"/>
    <mergeCell ref="WLM4:WLP4"/>
    <mergeCell ref="WLQ4:WLT4"/>
    <mergeCell ref="WLU4:WLX4"/>
    <mergeCell ref="WLY4:WMB4"/>
    <mergeCell ref="WKG4:WKJ4"/>
    <mergeCell ref="WKK4:WKN4"/>
    <mergeCell ref="WKO4:WKR4"/>
    <mergeCell ref="WKS4:WKV4"/>
    <mergeCell ref="WKW4:WKZ4"/>
    <mergeCell ref="WLA4:WLD4"/>
    <mergeCell ref="WJI4:WJL4"/>
    <mergeCell ref="WJM4:WJP4"/>
    <mergeCell ref="WJQ4:WJT4"/>
    <mergeCell ref="WJU4:WJX4"/>
    <mergeCell ref="WJY4:WKB4"/>
    <mergeCell ref="WKC4:WKF4"/>
    <mergeCell ref="WNY4:WOB4"/>
    <mergeCell ref="WOC4:WOF4"/>
    <mergeCell ref="WOG4:WOJ4"/>
    <mergeCell ref="WOK4:WON4"/>
    <mergeCell ref="WOO4:WOR4"/>
    <mergeCell ref="WOS4:WOV4"/>
    <mergeCell ref="WNA4:WND4"/>
    <mergeCell ref="WNE4:WNH4"/>
    <mergeCell ref="WNI4:WNL4"/>
    <mergeCell ref="WNM4:WNP4"/>
    <mergeCell ref="WNQ4:WNT4"/>
    <mergeCell ref="WNU4:WNX4"/>
    <mergeCell ref="WMC4:WMF4"/>
    <mergeCell ref="WMG4:WMJ4"/>
    <mergeCell ref="WMK4:WMN4"/>
    <mergeCell ref="WMO4:WMR4"/>
    <mergeCell ref="WMS4:WMV4"/>
    <mergeCell ref="WMW4:WMZ4"/>
    <mergeCell ref="WQS4:WQV4"/>
    <mergeCell ref="WQW4:WQZ4"/>
    <mergeCell ref="WRA4:WRD4"/>
    <mergeCell ref="WRE4:WRH4"/>
    <mergeCell ref="WRI4:WRL4"/>
    <mergeCell ref="WRM4:WRP4"/>
    <mergeCell ref="WPU4:WPX4"/>
    <mergeCell ref="WPY4:WQB4"/>
    <mergeCell ref="WQC4:WQF4"/>
    <mergeCell ref="WQG4:WQJ4"/>
    <mergeCell ref="WQK4:WQN4"/>
    <mergeCell ref="WQO4:WQR4"/>
    <mergeCell ref="WOW4:WOZ4"/>
    <mergeCell ref="WPA4:WPD4"/>
    <mergeCell ref="WPE4:WPH4"/>
    <mergeCell ref="WPI4:WPL4"/>
    <mergeCell ref="WPM4:WPP4"/>
    <mergeCell ref="WPQ4:WPT4"/>
    <mergeCell ref="WTM4:WTP4"/>
    <mergeCell ref="WTQ4:WTT4"/>
    <mergeCell ref="WTU4:WTX4"/>
    <mergeCell ref="WTY4:WUB4"/>
    <mergeCell ref="WUC4:WUF4"/>
    <mergeCell ref="WUG4:WUJ4"/>
    <mergeCell ref="WSO4:WSR4"/>
    <mergeCell ref="WSS4:WSV4"/>
    <mergeCell ref="WSW4:WSZ4"/>
    <mergeCell ref="WTA4:WTD4"/>
    <mergeCell ref="WTE4:WTH4"/>
    <mergeCell ref="WTI4:WTL4"/>
    <mergeCell ref="WRQ4:WRT4"/>
    <mergeCell ref="WRU4:WRX4"/>
    <mergeCell ref="WRY4:WSB4"/>
    <mergeCell ref="WSC4:WSF4"/>
    <mergeCell ref="WSG4:WSJ4"/>
    <mergeCell ref="WSK4:WSN4"/>
    <mergeCell ref="WWG4:WWJ4"/>
    <mergeCell ref="WWK4:WWN4"/>
    <mergeCell ref="WWO4:WWR4"/>
    <mergeCell ref="WWS4:WWV4"/>
    <mergeCell ref="WWW4:WWZ4"/>
    <mergeCell ref="WXA4:WXD4"/>
    <mergeCell ref="WVI4:WVL4"/>
    <mergeCell ref="WVM4:WVP4"/>
    <mergeCell ref="WVQ4:WVT4"/>
    <mergeCell ref="WVU4:WVX4"/>
    <mergeCell ref="WVY4:WWB4"/>
    <mergeCell ref="WWC4:WWF4"/>
    <mergeCell ref="WUK4:WUN4"/>
    <mergeCell ref="WUO4:WUR4"/>
    <mergeCell ref="WUS4:WUV4"/>
    <mergeCell ref="WUW4:WUZ4"/>
    <mergeCell ref="WVA4:WVD4"/>
    <mergeCell ref="WVE4:WVH4"/>
    <mergeCell ref="XAG4:XAJ4"/>
    <mergeCell ref="XAK4:XAN4"/>
    <mergeCell ref="XAO4:XAR4"/>
    <mergeCell ref="XAS4:XAV4"/>
    <mergeCell ref="WZA4:WZD4"/>
    <mergeCell ref="WZE4:WZH4"/>
    <mergeCell ref="WZI4:WZL4"/>
    <mergeCell ref="WZM4:WZP4"/>
    <mergeCell ref="WZQ4:WZT4"/>
    <mergeCell ref="WZU4:WZX4"/>
    <mergeCell ref="WYC4:WYF4"/>
    <mergeCell ref="WYG4:WYJ4"/>
    <mergeCell ref="WYK4:WYN4"/>
    <mergeCell ref="WYO4:WYR4"/>
    <mergeCell ref="WYS4:WYV4"/>
    <mergeCell ref="WYW4:WYZ4"/>
    <mergeCell ref="WXE4:WXH4"/>
    <mergeCell ref="WXI4:WXL4"/>
    <mergeCell ref="WXM4:WXP4"/>
    <mergeCell ref="WXQ4:WXT4"/>
    <mergeCell ref="WXU4:WXX4"/>
    <mergeCell ref="WXY4:WYB4"/>
    <mergeCell ref="XEO4:XER4"/>
    <mergeCell ref="XES4:XEV4"/>
    <mergeCell ref="XEW4:XEZ4"/>
    <mergeCell ref="XFA4:XFD4"/>
    <mergeCell ref="A10:D10"/>
    <mergeCell ref="A16:D16"/>
    <mergeCell ref="XDQ4:XDT4"/>
    <mergeCell ref="XDU4:XDX4"/>
    <mergeCell ref="XDY4:XEB4"/>
    <mergeCell ref="XEC4:XEF4"/>
    <mergeCell ref="XEG4:XEJ4"/>
    <mergeCell ref="XEK4:XEN4"/>
    <mergeCell ref="XCS4:XCV4"/>
    <mergeCell ref="XCW4:XCZ4"/>
    <mergeCell ref="XDA4:XDD4"/>
    <mergeCell ref="XDE4:XDH4"/>
    <mergeCell ref="XDI4:XDL4"/>
    <mergeCell ref="XDM4:XDP4"/>
    <mergeCell ref="XBU4:XBX4"/>
    <mergeCell ref="XBY4:XCB4"/>
    <mergeCell ref="XCC4:XCF4"/>
    <mergeCell ref="XCG4:XCJ4"/>
    <mergeCell ref="XCK4:XCN4"/>
    <mergeCell ref="XCO4:XCR4"/>
    <mergeCell ref="XAW4:XAZ4"/>
    <mergeCell ref="XBA4:XBD4"/>
    <mergeCell ref="XBE4:XBH4"/>
    <mergeCell ref="XBI4:XBL4"/>
    <mergeCell ref="XBM4:XBP4"/>
    <mergeCell ref="XBQ4:XBT4"/>
    <mergeCell ref="WZY4:XAB4"/>
    <mergeCell ref="XAC4:XAF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Clean_Data</vt:lpstr>
      <vt:lpstr>Analysis</vt:lpstr>
      <vt:lpstr>PivotTables</vt:lpstr>
      <vt:lpstr>Dashbroad_1</vt:lpstr>
      <vt:lpstr>Dashbroad_2</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Cayni Abuukar</dc:creator>
  <cp:lastModifiedBy>Cayni Abuukar</cp:lastModifiedBy>
  <dcterms:created xsi:type="dcterms:W3CDTF">2026-08-25T03:41:27Z</dcterms:created>
  <dcterms:modified xsi:type="dcterms:W3CDTF">2026-08-25T17:05:34Z</dcterms:modified>
</cp:coreProperties>
</file>